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HOK SINGH\Downloads\"/>
    </mc:Choice>
  </mc:AlternateContent>
  <xr:revisionPtr revIDLastSave="0" documentId="13_ncr:1_{BF97794B-14E9-435D-BC00-DAE8A952E4AD}" xr6:coauthVersionLast="47" xr6:coauthVersionMax="47" xr10:uidLastSave="{00000000-0000-0000-0000-000000000000}"/>
  <bookViews>
    <workbookView xWindow="-108" yWindow="-108" windowWidth="23256" windowHeight="12456" activeTab="1" xr2:uid="{55E03CC1-418F-4AAE-A308-44A773D37F35}"/>
  </bookViews>
  <sheets>
    <sheet name="Pivot Report" sheetId="1" r:id="rId1"/>
    <sheet name="Dashboard" sheetId="2" r:id="rId2"/>
    <sheet name="Daily ER No of Patient " sheetId="3" r:id="rId3"/>
    <sheet name="Avg wait Time" sheetId="5" r:id="rId4"/>
    <sheet name="Sastifaction Score Trend" sheetId="6" r:id="rId5"/>
  </sheets>
  <definedNames>
    <definedName name="Slicer_Date__Month">#N/A</definedName>
    <definedName name="Slicer_Date__Year">#N/A</definedName>
  </definedNames>
  <calcPr calcId="191029"/>
  <pivotCaches>
    <pivotCache cacheId="507" r:id="rId6"/>
    <pivotCache cacheId="510" r:id="rId7"/>
    <pivotCache cacheId="513" r:id="rId8"/>
    <pivotCache cacheId="516" r:id="rId9"/>
    <pivotCache cacheId="519" r:id="rId10"/>
    <pivotCache cacheId="522" r:id="rId11"/>
    <pivotCache cacheId="525" r:id="rId12"/>
    <pivotCache cacheId="528" r:id="rId13"/>
    <pivotCache cacheId="531" r:id="rId14"/>
    <pivotCache cacheId="534" r:id="rId15"/>
    <pivotCache cacheId="537" r:id="rId16"/>
    <pivotCache cacheId="540"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1560476-417c-41ed-baf2-c1175ec50be0" name="Hospital Emergency Room Data" connection="Query - Hospital Emergency Room Data"/>
          <x15:modelTable id="Calender_Date_dc43f860-dc66-4ec2-9e06-82c011d81177" name="Calender_Date" connection="Query - Calender_Date"/>
        </x15:modelTables>
        <x15:modelRelationships>
          <x15:modelRelationship fromTable="Hospital Emergency Room Data" fromColumn="Patient Admission Date" toTable="Calender_Date" toColumn="Date"/>
        </x15:modelRelationships>
        <x15:extLst>
          <ext xmlns:x16="http://schemas.microsoft.com/office/spreadsheetml/2014/11/main" uri="{9835A34E-60A6-4A7C-AAB8-D5F71C897F49}">
            <x16:modelTimeGroupings>
              <x16:modelTimeGrouping tableName="Calender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R48" i="1" l="1"/>
  <c r="R47" i="1"/>
  <c r="Q48" i="1"/>
  <c r="P48" i="1"/>
  <c r="Q47" i="1"/>
  <c r="P47" i="1"/>
  <c r="A48" i="1"/>
  <c r="B48" i="1"/>
  <c r="C48" i="1"/>
  <c r="B49" i="1"/>
  <c r="C49"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BEB910-A62C-4DCB-89B6-4C75AEB8C162}" name="Query - Calender_Date" description="Connection to the 'Calender_Date' query in the workbook." type="100" refreshedVersion="8" minRefreshableVersion="5">
    <extLst>
      <ext xmlns:x15="http://schemas.microsoft.com/office/spreadsheetml/2010/11/main" uri="{DE250136-89BD-433C-8126-D09CA5730AF9}">
        <x15:connection id="35561744-7d67-4f04-a6bf-4756367c5e66"/>
      </ext>
    </extLst>
  </connection>
  <connection id="2" xr16:uid="{45A10E47-BEC7-4A84-BDD5-EE14BC78E2F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4c06d29-98a8-43a5-8083-30a83996df54"/>
      </ext>
    </extLst>
  </connection>
  <connection id="3" xr16:uid="{C1808073-2D5C-4966-8BEA-10C14113448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<sst xmlns="http://schemas.openxmlformats.org/spreadsheetml/2006/main" count="159" uniqueCount="78">
  <si>
    <t xml:space="preserve"> </t>
  </si>
  <si>
    <t>Distinct Count of Patient Id</t>
  </si>
  <si>
    <t>No of Patient</t>
  </si>
  <si>
    <t>Average of Patient Waittime</t>
  </si>
  <si>
    <t>Average of Patient Satisfaction Score</t>
  </si>
  <si>
    <t>Row Labels</t>
  </si>
  <si>
    <t>Grand Total</t>
  </si>
  <si>
    <t>2024</t>
  </si>
  <si>
    <t xml:space="preserve">daily trend of  no patient </t>
  </si>
  <si>
    <t>Avg wait time</t>
  </si>
  <si>
    <t xml:space="preserve">Sastifaction Score Trend </t>
  </si>
  <si>
    <t>Count of Patient Admission Flag</t>
  </si>
  <si>
    <t>Admitted</t>
  </si>
  <si>
    <t>Not Admitted</t>
  </si>
  <si>
    <t>Count of Patient Admission Flag2</t>
  </si>
  <si>
    <t>Admission Status</t>
  </si>
  <si>
    <t>%Status</t>
  </si>
  <si>
    <t>Patient</t>
  </si>
  <si>
    <t xml:space="preserve"> No Of Patient</t>
  </si>
  <si>
    <t>0-09</t>
  </si>
  <si>
    <t>10-19</t>
  </si>
  <si>
    <t>20-29</t>
  </si>
  <si>
    <t>30-39</t>
  </si>
  <si>
    <t>40-49</t>
  </si>
  <si>
    <t>50-59</t>
  </si>
  <si>
    <t>60-69</t>
  </si>
  <si>
    <t>70-79</t>
  </si>
  <si>
    <t>Count of Age Group</t>
  </si>
  <si>
    <t>Age Group Analysis</t>
  </si>
  <si>
    <t xml:space="preserve">patient waittime </t>
  </si>
  <si>
    <t>Delay</t>
  </si>
  <si>
    <t>Ontime</t>
  </si>
  <si>
    <t>Count of Patient Attend Status</t>
  </si>
  <si>
    <t xml:space="preserve">No Of Patient By Gender </t>
  </si>
  <si>
    <t>Female</t>
  </si>
  <si>
    <t>Male</t>
  </si>
  <si>
    <t>Count of Patient Gender</t>
  </si>
  <si>
    <t>Department Refferal</t>
  </si>
  <si>
    <t>Cardiology</t>
  </si>
  <si>
    <t>Gastroenterology</t>
  </si>
  <si>
    <t>General Practice</t>
  </si>
  <si>
    <t>Neurology</t>
  </si>
  <si>
    <t>None</t>
  </si>
  <si>
    <t>Orthopedics</t>
  </si>
  <si>
    <t>Physiotherapy</t>
  </si>
  <si>
    <t>Renal</t>
  </si>
  <si>
    <t>Count of Department Referral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</si>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</sst>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2" borderId="0" xfId="0" applyFill="1"/>
    <xf numFmtId="0" fontId="0" fillId="2" borderId="0" xfId="0" applyFill="1" applyAlignment="1">
      <alignment horizontal="center" vertical="center"/>
    </xf>
    <xf numFmtId="0" fontId="0" fillId="2" borderId="0" xfId="0" applyFill="1" applyAlignment="1">
      <alignment horizontal="left"/>
    </xf>
    <xf numFmtId="2" fontId="0" fillId="2" borderId="0" xfId="0" applyNumberFormat="1" applyFill="1"/>
    <xf numFmtId="1" fontId="0" fillId="2" borderId="0" xfId="0" applyNumberFormat="1" applyFill="1"/>
    <xf numFmtId="10" fontId="0" fillId="2" borderId="0" xfId="0" applyNumberFormat="1" applyFill="1"/>
    <xf numFmtId="10" fontId="0" fillId="2" borderId="0" xfId="1" applyNumberFormat="1" applyFont="1" applyFill="1" applyAlignment="1">
      <alignment horizontal="center" vertical="center"/>
    </xf>
    <xf numFmtId="0" fontId="0" fillId="0" borderId="0" xfId="0" applyFill="1" applyAlignment="1">
      <alignment horizontal="center" vertical="center"/>
    </xf>
    <xf numFmtId="9" fontId="0" fillId="0" borderId="0" xfId="1" applyFont="1" applyFill="1" applyAlignment="1">
      <alignment horizontal="center" vertical="center"/>
    </xf>
    <xf numFmtId="0" fontId="0" fillId="2" borderId="0" xfId="0" applyNumberFormat="1" applyFill="1"/>
  </cellXfs>
  <cellStyles count="2">
    <cellStyle name="Normal" xfId="0" builtinId="0"/>
    <cellStyle name="Per cent" xfId="1" builtinId="5"/>
  </cellStyles>
  <dxfs count="718">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numFmt numFmtId="1" formatCode="0"/>
    </dxf>
    <dxf>
      <numFmt numFmtId="14" formatCode="0.00%"/>
    </dxf>
    <dxf>
      <numFmt numFmtId="14" formatCode="0.00%"/>
    </dxf>
    <dxf>
      <numFmt numFmtId="14"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numFmt numFmtId="1" formatCode="0"/>
    </dxf>
    <dxf>
      <numFmt numFmtId="14" formatCode="0.00%"/>
    </dxf>
    <dxf>
      <numFmt numFmtId="14" formatCode="0.00%"/>
    </dxf>
    <dxf>
      <numFmt numFmtId="14"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numFmt numFmtId="1" formatCode="0"/>
    </dxf>
    <dxf>
      <numFmt numFmtId="14" formatCode="0.00%"/>
    </dxf>
    <dxf>
      <numFmt numFmtId="14" formatCode="0.00%"/>
    </dxf>
    <dxf>
      <numFmt numFmtId="14"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numFmt numFmtId="1" formatCode="0"/>
    </dxf>
    <dxf>
      <numFmt numFmtId="14" formatCode="0.00%"/>
    </dxf>
    <dxf>
      <numFmt numFmtId="14" formatCode="0.00%"/>
    </dxf>
    <dxf>
      <numFmt numFmtId="14"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numFmt numFmtId="1" formatCode="0"/>
    </dxf>
    <dxf>
      <numFmt numFmtId="14" formatCode="0.00%"/>
    </dxf>
    <dxf>
      <numFmt numFmtId="14" formatCode="0.00%"/>
    </dxf>
    <dxf>
      <numFmt numFmtId="14"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numFmt numFmtId="1" formatCode="0"/>
    </dxf>
    <dxf>
      <numFmt numFmtId="14" formatCode="0.00%"/>
    </dxf>
    <dxf>
      <numFmt numFmtId="14" formatCode="0.00%"/>
    </dxf>
    <dxf>
      <numFmt numFmtId="14"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numFmt numFmtId="1" formatCode="0"/>
    </dxf>
    <dxf>
      <numFmt numFmtId="14" formatCode="0.00%"/>
    </dxf>
    <dxf>
      <numFmt numFmtId="14" formatCode="0.00%"/>
    </dxf>
    <dxf>
      <numFmt numFmtId="14"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numFmt numFmtId="1" formatCode="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numFmt numFmtId="1" formatCode="0"/>
    </dxf>
    <dxf>
      <numFmt numFmtId="14" formatCode="0.00%"/>
    </dxf>
    <dxf>
      <numFmt numFmtId="14" formatCode="0.00%"/>
    </dxf>
    <dxf>
      <numFmt numFmtId="14"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numFmt numFmtId="2" formatCode="0.00"/>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color theme="1"/>
      </font>
      <border>
        <bottom style="thin">
          <color theme="5"/>
        </bottom>
        <vertical/>
        <horizontal/>
      </border>
    </dxf>
    <dxf>
      <font>
        <sz val="7"/>
        <color theme="1"/>
      </font>
      <border diagonalUp="0" diagonalDown="0">
        <left/>
        <right/>
        <top/>
        <bottom/>
        <vertical/>
        <horizontal/>
      </border>
    </dxf>
  </dxfs>
  <tableStyles count="1" defaultTableStyle="TableStyleMedium2" defaultPivotStyle="PivotStyleLight16">
    <tableStyle name="Newww" pivot="0" table="0" count="10" xr9:uid="{2393C13C-E1A4-4623-8C5E-5ACD4BEEFA03}">
      <tableStyleElement type="wholeTable" dxfId="717"/>
      <tableStyleElement type="headerRow" dxfId="7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w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Report!PivotTable7</c:name>
    <c:fmtId val="5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fld id="{CEADE047-F10D-4818-BD57-8CD9666EC091}" type="CELLRANGE">
                  <a:rPr lang="en-US"/>
                  <a:pPr>
                    <a:defRPr sz="105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fld id="{5B472720-4BDA-4100-9B80-43016169A114}" type="CELLRANGE">
                  <a:rPr lang="en-US"/>
                  <a:pPr>
                    <a:defRPr sz="105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fld id="{CEADE047-F10D-4818-BD57-8CD9666EC091}" type="CELLRANGE">
                  <a:rPr lang="en-US"/>
                  <a:pPr>
                    <a:defRPr sz="105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fld id="{5B472720-4BDA-4100-9B80-43016169A114}" type="CELLRANGE">
                  <a:rPr lang="en-US"/>
                  <a:pPr>
                    <a:defRPr sz="105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98707D9E-3A2C-4C0D-9B96-1C9F8017316A}" type="CELLRANGE">
                  <a:rPr lang="en-US" sz="1000"/>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E7103584-8F73-46B7-B463-F2344D127BB6}" type="CELLRANGE">
                  <a:rPr lang="en-IN"/>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98707D9E-3A2C-4C0D-9B96-1C9F8017316A}" type="CELLRANGE">
                  <a:rPr lang="en-US" sz="1000"/>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3EBB3D2E-F1DA-4468-8E13-A5B42AAA3A40}" type="CELLRANGE">
                  <a:rPr lang="en-IN"/>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7"/>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AB0294E6-1E9C-4FCF-AB73-22001F4A85D9}" type="CELLRANGE">
                  <a:rPr lang="en-US" sz="700"/>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2229B5AB-28D1-4A44-A043-E40FF8536B05}"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21"/>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4983B626-AF56-496A-B0D4-EFEA6AE4F54F}"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22"/>
        <c:spPr>
          <a:solidFill>
            <a:schemeClr val="accent1"/>
          </a:solidFill>
          <a:ln>
            <a:noFill/>
          </a:ln>
          <a:effectLst/>
        </c:spPr>
        <c:dLbl>
          <c:idx val="0"/>
          <c:tx>
            <c:rich>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739AAF3D-48F4-44A3-96D7-8B1B7262BCC7}" type="CELLRANGE">
                  <a:rPr lang="en-IN"/>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pivotFmt>
    </c:pivotFmts>
    <c:plotArea>
      <c:layout>
        <c:manualLayout>
          <c:layoutTarget val="inner"/>
          <c:xMode val="edge"/>
          <c:yMode val="edge"/>
          <c:x val="8.0785757425380744E-2"/>
          <c:y val="0.13195888988121068"/>
          <c:w val="0.9160430550920321"/>
          <c:h val="0.68659814166854993"/>
        </c:manualLayout>
      </c:layout>
      <c:barChart>
        <c:barDir val="bar"/>
        <c:grouping val="clustered"/>
        <c:varyColors val="0"/>
        <c:ser>
          <c:idx val="0"/>
          <c:order val="0"/>
          <c:tx>
            <c:strRef>
              <c:f>'Pivot Report'!$C$43:$C$44</c:f>
              <c:strCache>
                <c:ptCount val="1"/>
                <c:pt idx="0">
                  <c:v>Count of Patient Admission Flag</c:v>
                </c:pt>
              </c:strCache>
            </c:strRef>
          </c:tx>
          <c:spPr>
            <a:solidFill>
              <a:schemeClr val="accent1"/>
            </a:solidFill>
            <a:ln>
              <a:noFill/>
            </a:ln>
            <a:effectLst/>
          </c:spPr>
          <c:invertIfNegative val="0"/>
          <c:cat>
            <c:strRef>
              <c:f>'Pivot Report'!$C$43:$C$44</c:f>
              <c:strCache>
                <c:ptCount val="2"/>
                <c:pt idx="0">
                  <c:v>Admitted</c:v>
                </c:pt>
                <c:pt idx="1">
                  <c:v>Not Admitted</c:v>
                </c:pt>
              </c:strCache>
            </c:strRef>
          </c:cat>
          <c:val>
            <c:numRef>
              <c:f>'Pivot Report'!$C$43:$C$44</c:f>
              <c:numCache>
                <c:formatCode>0</c:formatCode>
                <c:ptCount val="2"/>
                <c:pt idx="0">
                  <c:v>242</c:v>
                </c:pt>
                <c:pt idx="1">
                  <c:v>288</c:v>
                </c:pt>
              </c:numCache>
            </c:numRef>
          </c:val>
          <c:extLst>
            <c:ext xmlns:c16="http://schemas.microsoft.com/office/drawing/2014/chart" uri="{C3380CC4-5D6E-409C-BE32-E72D297353CC}">
              <c16:uniqueId val="{00000004-F589-4E0A-87DD-6CAB3179B161}"/>
            </c:ext>
          </c:extLst>
        </c:ser>
        <c:ser>
          <c:idx val="1"/>
          <c:order val="1"/>
          <c:tx>
            <c:strRef>
              <c:f>'Pivot Report'!$C$43:$C$44</c:f>
              <c:strCache>
                <c:ptCount val="1"/>
                <c:pt idx="0">
                  <c:v>Count of Patient Admission Flag2</c:v>
                </c:pt>
              </c:strCache>
            </c:strRef>
          </c:tx>
          <c:spPr>
            <a:solidFill>
              <a:schemeClr val="accent2"/>
            </a:solidFill>
            <a:ln>
              <a:noFill/>
            </a:ln>
            <a:effectLst/>
          </c:spPr>
          <c:invertIfNegative val="0"/>
          <c:cat>
            <c:strRef>
              <c:f>'Pivot Report'!$C$43:$C$44</c:f>
              <c:strCache>
                <c:ptCount val="2"/>
                <c:pt idx="0">
                  <c:v>Admitted</c:v>
                </c:pt>
                <c:pt idx="1">
                  <c:v>Not Admitted</c:v>
                </c:pt>
              </c:strCache>
            </c:strRef>
          </c:cat>
          <c:val>
            <c:numRef>
              <c:f>'Pivot Report'!$C$43:$C$44</c:f>
              <c:numCache>
                <c:formatCode>0.00%</c:formatCode>
                <c:ptCount val="2"/>
                <c:pt idx="0">
                  <c:v>0.45660377358490567</c:v>
                </c:pt>
                <c:pt idx="1">
                  <c:v>0.54339622641509433</c:v>
                </c:pt>
              </c:numCache>
            </c:numRef>
          </c:val>
          <c:extLst>
            <c:ext xmlns:c16="http://schemas.microsoft.com/office/drawing/2014/chart" uri="{C3380CC4-5D6E-409C-BE32-E72D297353CC}">
              <c16:uniqueId val="{00000005-F589-4E0A-87DD-6CAB3179B161}"/>
            </c:ext>
          </c:extLst>
        </c:ser>
        <c:dLbls>
          <c:showLegendKey val="0"/>
          <c:showVal val="0"/>
          <c:showCatName val="0"/>
          <c:showSerName val="0"/>
          <c:showPercent val="0"/>
          <c:showBubbleSize val="0"/>
        </c:dLbls>
        <c:gapWidth val="133"/>
        <c:axId val="184479711"/>
        <c:axId val="184481511"/>
      </c:barChart>
      <c:catAx>
        <c:axId val="184479711"/>
        <c:scaling>
          <c:orientation val="minMax"/>
        </c:scaling>
        <c:delete val="1"/>
        <c:axPos val="l"/>
        <c:numFmt formatCode="General" sourceLinked="1"/>
        <c:majorTickMark val="none"/>
        <c:minorTickMark val="none"/>
        <c:tickLblPos val="nextTo"/>
        <c:crossAx val="184481511"/>
        <c:crosses val="autoZero"/>
        <c:auto val="1"/>
        <c:lblAlgn val="ctr"/>
        <c:lblOffset val="100"/>
        <c:noMultiLvlLbl val="0"/>
      </c:catAx>
      <c:valAx>
        <c:axId val="184481511"/>
        <c:scaling>
          <c:orientation val="minMax"/>
        </c:scaling>
        <c:delete val="1"/>
        <c:axPos val="b"/>
        <c:numFmt formatCode="0" sourceLinked="1"/>
        <c:majorTickMark val="none"/>
        <c:minorTickMark val="none"/>
        <c:tickLblPos val="nextTo"/>
        <c:crossAx val="18447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Report!PivotTable4</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3.7633505008668189E-2"/>
          <c:y val="0.52711060903017615"/>
          <c:w val="0.95603488756995603"/>
          <c:h val="0.46401338654797936"/>
        </c:manualLayout>
      </c:layout>
      <c:areaChart>
        <c:grouping val="standard"/>
        <c:varyColors val="0"/>
        <c:ser>
          <c:idx val="0"/>
          <c:order val="0"/>
          <c:tx>
            <c:strRef>
              <c:f>'Pivot Report'!$E$8</c:f>
              <c:strCache>
                <c:ptCount val="1"/>
                <c:pt idx="0">
                  <c:v>Total</c:v>
                </c:pt>
              </c:strCache>
            </c:strRef>
          </c:tx>
          <c:spPr>
            <a:solidFill>
              <a:schemeClr val="accent1"/>
            </a:solidFill>
            <a:ln w="25400">
              <a:noFill/>
            </a:ln>
            <a:effectLst/>
          </c:spPr>
          <c:cat>
            <c:strRef>
              <c:f>'Pivot Report'!$D$9:$D$40</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Report'!$E$9:$E$40</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5-148E-4825-99A0-7E78AD463BEB}"/>
            </c:ext>
          </c:extLst>
        </c:ser>
        <c:dLbls>
          <c:showLegendKey val="0"/>
          <c:showVal val="0"/>
          <c:showCatName val="0"/>
          <c:showSerName val="0"/>
          <c:showPercent val="0"/>
          <c:showBubbleSize val="0"/>
        </c:dLbls>
        <c:axId val="1008160312"/>
        <c:axId val="1008160672"/>
      </c:areaChart>
      <c:catAx>
        <c:axId val="1008160312"/>
        <c:scaling>
          <c:orientation val="minMax"/>
        </c:scaling>
        <c:delete val="1"/>
        <c:axPos val="b"/>
        <c:numFmt formatCode="General" sourceLinked="1"/>
        <c:majorTickMark val="out"/>
        <c:minorTickMark val="none"/>
        <c:tickLblPos val="nextTo"/>
        <c:crossAx val="1008160672"/>
        <c:crosses val="autoZero"/>
        <c:auto val="1"/>
        <c:lblAlgn val="ctr"/>
        <c:lblOffset val="100"/>
        <c:noMultiLvlLbl val="0"/>
      </c:catAx>
      <c:valAx>
        <c:axId val="1008160672"/>
        <c:scaling>
          <c:orientation val="minMax"/>
        </c:scaling>
        <c:delete val="1"/>
        <c:axPos val="l"/>
        <c:numFmt formatCode="General" sourceLinked="1"/>
        <c:majorTickMark val="none"/>
        <c:minorTickMark val="none"/>
        <c:tickLblPos val="nextTo"/>
        <c:crossAx val="1008160312"/>
        <c:crosses val="autoZero"/>
        <c:crossBetween val="midCat"/>
      </c:valAx>
      <c:spPr>
        <a:noFill/>
        <a:ln w="25400">
          <a:noFill/>
        </a:ln>
        <a:effectLst/>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927799693985093"/>
          <c:w val="0.98172713862097294"/>
          <c:h val="0.82274633827004229"/>
        </c:manualLayout>
      </c:layout>
      <c:areaChart>
        <c:grouping val="standard"/>
        <c:varyColors val="0"/>
        <c:ser>
          <c:idx val="0"/>
          <c:order val="0"/>
          <c:tx>
            <c:strRef>
              <c:f>'Pivot Report'!$I$8</c:f>
              <c:strCache>
                <c:ptCount val="1"/>
                <c:pt idx="0">
                  <c:v>Total</c:v>
                </c:pt>
              </c:strCache>
            </c:strRef>
          </c:tx>
          <c:spPr>
            <a:solidFill>
              <a:schemeClr val="accent1"/>
            </a:solidFill>
            <a:ln w="25400">
              <a:noFill/>
            </a:ln>
            <a:effectLst/>
          </c:spPr>
          <c:cat>
            <c:strRef>
              <c:f>'Pivot Report'!$H$9:$H$39</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Report'!$I$9:$I$39</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3-EAF0-4F03-A3E9-579A47B55649}"/>
            </c:ext>
          </c:extLst>
        </c:ser>
        <c:dLbls>
          <c:showLegendKey val="0"/>
          <c:showVal val="0"/>
          <c:showCatName val="0"/>
          <c:showSerName val="0"/>
          <c:showPercent val="0"/>
          <c:showBubbleSize val="0"/>
        </c:dLbls>
        <c:axId val="1008181912"/>
        <c:axId val="1008184072"/>
      </c:areaChart>
      <c:catAx>
        <c:axId val="1008181912"/>
        <c:scaling>
          <c:orientation val="minMax"/>
        </c:scaling>
        <c:delete val="1"/>
        <c:axPos val="b"/>
        <c:numFmt formatCode="General" sourceLinked="1"/>
        <c:majorTickMark val="out"/>
        <c:minorTickMark val="none"/>
        <c:tickLblPos val="nextTo"/>
        <c:crossAx val="1008184072"/>
        <c:crosses val="autoZero"/>
        <c:auto val="1"/>
        <c:lblAlgn val="ctr"/>
        <c:lblOffset val="100"/>
        <c:noMultiLvlLbl val="0"/>
      </c:catAx>
      <c:valAx>
        <c:axId val="1008184072"/>
        <c:scaling>
          <c:orientation val="minMax"/>
        </c:scaling>
        <c:delete val="1"/>
        <c:axPos val="l"/>
        <c:numFmt formatCode="0.00" sourceLinked="1"/>
        <c:majorTickMark val="none"/>
        <c:minorTickMark val="none"/>
        <c:tickLblPos val="nextTo"/>
        <c:crossAx val="100818191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59358299480041E-3"/>
          <c:y val="0.55100131856242895"/>
          <c:w val="0.99288699543450687"/>
          <c:h val="0.39242221045157943"/>
        </c:manualLayout>
      </c:layout>
      <c:areaChart>
        <c:grouping val="standard"/>
        <c:varyColors val="0"/>
        <c:ser>
          <c:idx val="0"/>
          <c:order val="0"/>
          <c:tx>
            <c:strRef>
              <c:f>'Pivot Report'!$M$8</c:f>
              <c:strCache>
                <c:ptCount val="1"/>
                <c:pt idx="0">
                  <c:v>Total</c:v>
                </c:pt>
              </c:strCache>
            </c:strRef>
          </c:tx>
          <c:spPr>
            <a:solidFill>
              <a:schemeClr val="accent1"/>
            </a:solidFill>
            <a:ln w="25400">
              <a:noFill/>
            </a:ln>
            <a:effectLst/>
          </c:spPr>
          <c:cat>
            <c:strRef>
              <c:f>'Pivot Report'!$L$9:$L$39</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Report'!$M$9:$M$39</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1-40B2-4062-A07A-0445A135C118}"/>
            </c:ext>
          </c:extLst>
        </c:ser>
        <c:dLbls>
          <c:showLegendKey val="0"/>
          <c:showVal val="0"/>
          <c:showCatName val="0"/>
          <c:showSerName val="0"/>
          <c:showPercent val="0"/>
          <c:showBubbleSize val="0"/>
        </c:dLbls>
        <c:axId val="81244751"/>
        <c:axId val="81247271"/>
      </c:areaChart>
      <c:catAx>
        <c:axId val="81244751"/>
        <c:scaling>
          <c:orientation val="minMax"/>
        </c:scaling>
        <c:delete val="1"/>
        <c:axPos val="b"/>
        <c:numFmt formatCode="General" sourceLinked="1"/>
        <c:majorTickMark val="out"/>
        <c:minorTickMark val="none"/>
        <c:tickLblPos val="nextTo"/>
        <c:crossAx val="81247271"/>
        <c:crosses val="autoZero"/>
        <c:auto val="1"/>
        <c:lblAlgn val="ctr"/>
        <c:lblOffset val="100"/>
        <c:noMultiLvlLbl val="0"/>
      </c:catAx>
      <c:valAx>
        <c:axId val="81247271"/>
        <c:scaling>
          <c:orientation val="minMax"/>
        </c:scaling>
        <c:delete val="1"/>
        <c:axPos val="l"/>
        <c:numFmt formatCode="0.00" sourceLinked="1"/>
        <c:majorTickMark val="none"/>
        <c:minorTickMark val="none"/>
        <c:tickLblPos val="nextTo"/>
        <c:crossAx val="81244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Report!PivotTable8</c:name>
    <c:fmtId val="6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14390065229358E-2"/>
          <c:y val="2.6198638119893779E-2"/>
          <c:w val="0.94396555208004984"/>
          <c:h val="0.76477265050944443"/>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c:formatCode>
                <c:ptCount val="8"/>
                <c:pt idx="0">
                  <c:v>63</c:v>
                </c:pt>
                <c:pt idx="1">
                  <c:v>63</c:v>
                </c:pt>
                <c:pt idx="2">
                  <c:v>65</c:v>
                </c:pt>
                <c:pt idx="3">
                  <c:v>60</c:v>
                </c:pt>
                <c:pt idx="4">
                  <c:v>65</c:v>
                </c:pt>
                <c:pt idx="5">
                  <c:v>72</c:v>
                </c:pt>
                <c:pt idx="6">
                  <c:v>73</c:v>
                </c:pt>
                <c:pt idx="7">
                  <c:v>69</c:v>
                </c:pt>
              </c:numCache>
            </c:numRef>
          </c:val>
          <c:extLst>
            <c:ext xmlns:c16="http://schemas.microsoft.com/office/drawing/2014/chart" uri="{C3380CC4-5D6E-409C-BE32-E72D297353CC}">
              <c16:uniqueId val="{00000001-20A3-4C45-8B57-93C7F4D72E7C}"/>
            </c:ext>
          </c:extLst>
        </c:ser>
        <c:dLbls>
          <c:showLegendKey val="0"/>
          <c:showVal val="0"/>
          <c:showCatName val="0"/>
          <c:showSerName val="0"/>
          <c:showPercent val="0"/>
          <c:showBubbleSize val="0"/>
        </c:dLbls>
        <c:gapWidth val="219"/>
        <c:overlap val="-27"/>
        <c:axId val="72721535"/>
        <c:axId val="72727295"/>
      </c:barChart>
      <c:catAx>
        <c:axId val="7272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2727295"/>
        <c:crosses val="autoZero"/>
        <c:auto val="1"/>
        <c:lblAlgn val="ctr"/>
        <c:lblOffset val="100"/>
        <c:noMultiLvlLbl val="0"/>
      </c:catAx>
      <c:valAx>
        <c:axId val="72727295"/>
        <c:scaling>
          <c:orientation val="minMax"/>
        </c:scaling>
        <c:delete val="1"/>
        <c:axPos val="l"/>
        <c:numFmt formatCode="0" sourceLinked="1"/>
        <c:majorTickMark val="none"/>
        <c:minorTickMark val="none"/>
        <c:tickLblPos val="nextTo"/>
        <c:crossAx val="7272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Report!PivotTable9</c:name>
    <c:fmtId val="6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557200005112279"/>
          <c:y val="0.18556979980261229"/>
          <c:w val="0.63369369345594284"/>
          <c:h val="0.65730698217012495"/>
        </c:manualLayout>
      </c:layout>
      <c:pieChart>
        <c:varyColors val="1"/>
        <c:ser>
          <c:idx val="0"/>
          <c:order val="0"/>
          <c:tx>
            <c:strRef>
              <c:f>'Pivot Report'!$B$69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3A-45F6-915B-7B20C53D3A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3A-45F6-915B-7B20C53D3A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Report'!$A$70:$A$72</c:f>
              <c:strCache>
                <c:ptCount val="2"/>
                <c:pt idx="0">
                  <c:v>Delay</c:v>
                </c:pt>
                <c:pt idx="1">
                  <c:v>Ontime</c:v>
                </c:pt>
              </c:strCache>
            </c:strRef>
          </c:cat>
          <c:val>
            <c:numRef>
              <c:f>'Pivot Report'!$B$70:$B$72</c:f>
              <c:numCache>
                <c:formatCode>0</c:formatCode>
                <c:ptCount val="2"/>
                <c:pt idx="0">
                  <c:v>323</c:v>
                </c:pt>
                <c:pt idx="1">
                  <c:v>207</c:v>
                </c:pt>
              </c:numCache>
            </c:numRef>
          </c:val>
          <c:extLst>
            <c:ext xmlns:c16="http://schemas.microsoft.com/office/drawing/2014/chart" uri="{C3380CC4-5D6E-409C-BE32-E72D297353CC}">
              <c16:uniqueId val="{00000005-4B07-43A6-9E96-4A7489F9E32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3231935938503939"/>
          <c:y val="4.9444919925587021E-2"/>
          <c:w val="0.52502149039276269"/>
          <c:h val="9.8427354863006383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7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Report!PivotTable10</c:name>
    <c:fmtId val="7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467422909378124"/>
          <c:y val="0.17198312794597725"/>
          <c:w val="0.6034103795769622"/>
          <c:h val="0.69819896077176091"/>
        </c:manualLayout>
      </c:layout>
      <c:doughnutChart>
        <c:varyColors val="1"/>
        <c:ser>
          <c:idx val="0"/>
          <c:order val="0"/>
          <c:tx>
            <c:strRef>
              <c:f>'Pivot Report'!$B$75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AD7-4FC7-9D91-6358AC677EC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AD7-4FC7-9D91-6358AC677EC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Report'!$A$76:$A$78</c:f>
              <c:strCache>
                <c:ptCount val="2"/>
                <c:pt idx="0">
                  <c:v>Female</c:v>
                </c:pt>
                <c:pt idx="1">
                  <c:v>Male</c:v>
                </c:pt>
              </c:strCache>
            </c:strRef>
          </c:cat>
          <c:val>
            <c:numRef>
              <c:f>'Pivot Report'!$B$76:$B$78</c:f>
              <c:numCache>
                <c:formatCode>0.00</c:formatCode>
                <c:ptCount val="2"/>
                <c:pt idx="0">
                  <c:v>259</c:v>
                </c:pt>
                <c:pt idx="1">
                  <c:v>271</c:v>
                </c:pt>
              </c:numCache>
            </c:numRef>
          </c:val>
          <c:extLst>
            <c:ext xmlns:c16="http://schemas.microsoft.com/office/drawing/2014/chart" uri="{C3380CC4-5D6E-409C-BE32-E72D297353CC}">
              <c16:uniqueId val="{00000005-0CEA-4720-BFBE-E2F54D6C8413}"/>
            </c:ext>
          </c:extLst>
        </c:ser>
        <c:dLbls>
          <c:showLegendKey val="0"/>
          <c:showVal val="0"/>
          <c:showCatName val="0"/>
          <c:showSerName val="0"/>
          <c:showPercent val="1"/>
          <c:showBubbleSize val="0"/>
          <c:showLeaderLines val="1"/>
        </c:dLbls>
        <c:firstSliceAng val="0"/>
        <c:holeSize val="30"/>
      </c:doughnutChart>
      <c:spPr>
        <a:noFill/>
        <a:ln>
          <a:noFill/>
        </a:ln>
        <a:effectLst/>
      </c:spPr>
    </c:plotArea>
    <c:legend>
      <c:legendPos val="r"/>
      <c:layout>
        <c:manualLayout>
          <c:xMode val="edge"/>
          <c:yMode val="edge"/>
          <c:x val="0.24413996918000766"/>
          <c:y val="5.1982816605598559E-2"/>
          <c:w val="0.55899326590455667"/>
          <c:h val="0.105325009382250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7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Report!PivotTable11</c:name>
    <c:fmtId val="8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50183684774142"/>
          <c:y val="0"/>
          <c:w val="0.77878032329990221"/>
          <c:h val="0.87446180134378249"/>
        </c:manualLayout>
      </c:layout>
      <c:barChart>
        <c:barDir val="bar"/>
        <c:grouping val="clustered"/>
        <c:varyColors val="0"/>
        <c:ser>
          <c:idx val="0"/>
          <c:order val="0"/>
          <c:tx>
            <c:strRef>
              <c:f>'Pivot Report'!$B$82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Report'!$A$83:$A$91</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Report'!$B$83:$B$91</c:f>
              <c:numCache>
                <c:formatCode>0</c:formatCode>
                <c:ptCount val="8"/>
                <c:pt idx="0">
                  <c:v>7</c:v>
                </c:pt>
                <c:pt idx="1">
                  <c:v>10</c:v>
                </c:pt>
                <c:pt idx="2">
                  <c:v>12</c:v>
                </c:pt>
                <c:pt idx="3">
                  <c:v>14</c:v>
                </c:pt>
                <c:pt idx="4">
                  <c:v>18</c:v>
                </c:pt>
                <c:pt idx="5">
                  <c:v>53</c:v>
                </c:pt>
                <c:pt idx="6">
                  <c:v>109</c:v>
                </c:pt>
                <c:pt idx="7">
                  <c:v>307</c:v>
                </c:pt>
              </c:numCache>
            </c:numRef>
          </c:val>
          <c:extLst>
            <c:ext xmlns:c16="http://schemas.microsoft.com/office/drawing/2014/chart" uri="{C3380CC4-5D6E-409C-BE32-E72D297353CC}">
              <c16:uniqueId val="{00000001-F5A8-4D3D-813C-67F933EE1C78}"/>
            </c:ext>
          </c:extLst>
        </c:ser>
        <c:dLbls>
          <c:showLegendKey val="0"/>
          <c:showVal val="0"/>
          <c:showCatName val="0"/>
          <c:showSerName val="0"/>
          <c:showPercent val="0"/>
          <c:showBubbleSize val="0"/>
        </c:dLbls>
        <c:gapWidth val="35"/>
        <c:axId val="72727295"/>
        <c:axId val="72720455"/>
      </c:barChart>
      <c:catAx>
        <c:axId val="7272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2720455"/>
        <c:crosses val="autoZero"/>
        <c:auto val="1"/>
        <c:lblAlgn val="ctr"/>
        <c:lblOffset val="100"/>
        <c:noMultiLvlLbl val="0"/>
      </c:catAx>
      <c:valAx>
        <c:axId val="72720455"/>
        <c:scaling>
          <c:orientation val="minMax"/>
        </c:scaling>
        <c:delete val="1"/>
        <c:axPos val="b"/>
        <c:numFmt formatCode="0" sourceLinked="1"/>
        <c:majorTickMark val="none"/>
        <c:minorTickMark val="none"/>
        <c:tickLblPos val="nextTo"/>
        <c:crossAx val="7272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Report!PivotTable4</c:name>
    <c:fmtId val="1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288500763058501E-2"/>
          <c:y val="0.17854910106004154"/>
          <c:w val="0.93481005944207496"/>
          <c:h val="0.6655024736919759"/>
        </c:manualLayout>
      </c:layout>
      <c:areaChart>
        <c:grouping val="standard"/>
        <c:varyColors val="0"/>
        <c:ser>
          <c:idx val="0"/>
          <c:order val="0"/>
          <c:tx>
            <c:strRef>
              <c:f>'Pivot Report'!$E$8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Report'!$D$9:$D$40</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Report'!$E$9:$E$40</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1-9CE9-4174-90C1-61F4CE902D8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08160312"/>
        <c:axId val="1008160672"/>
      </c:areaChart>
      <c:catAx>
        <c:axId val="10081603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8160672"/>
        <c:crosses val="autoZero"/>
        <c:auto val="1"/>
        <c:lblAlgn val="ctr"/>
        <c:lblOffset val="100"/>
        <c:noMultiLvlLbl val="0"/>
      </c:catAx>
      <c:valAx>
        <c:axId val="1008160672"/>
        <c:scaling>
          <c:orientation val="minMax"/>
        </c:scaling>
        <c:delete val="1"/>
        <c:axPos val="l"/>
        <c:numFmt formatCode="General" sourceLinked="1"/>
        <c:majorTickMark val="out"/>
        <c:minorTickMark val="none"/>
        <c:tickLblPos val="nextTo"/>
        <c:crossAx val="1008160312"/>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Report!PivotTable5</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3232813879665075E-2"/>
          <c:w val="0.98172713862097294"/>
          <c:h val="0.76504601599646027"/>
        </c:manualLayout>
      </c:layout>
      <c:areaChart>
        <c:grouping val="standard"/>
        <c:varyColors val="0"/>
        <c:ser>
          <c:idx val="0"/>
          <c:order val="0"/>
          <c:tx>
            <c:strRef>
              <c:f>'Pivot Report'!$I$8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Report'!$H$9:$H$39</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Report'!$I$9:$I$39</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2-CE6C-4FBA-BB70-C9ED9BFCF38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08181912"/>
        <c:axId val="1008184072"/>
      </c:areaChart>
      <c:catAx>
        <c:axId val="10081819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008184072"/>
        <c:crosses val="autoZero"/>
        <c:auto val="1"/>
        <c:lblAlgn val="ctr"/>
        <c:lblOffset val="100"/>
        <c:noMultiLvlLbl val="0"/>
      </c:catAx>
      <c:valAx>
        <c:axId val="1008184072"/>
        <c:scaling>
          <c:orientation val="minMax"/>
        </c:scaling>
        <c:delete val="1"/>
        <c:axPos val="l"/>
        <c:numFmt formatCode="0.00" sourceLinked="1"/>
        <c:majorTickMark val="out"/>
        <c:minorTickMark val="none"/>
        <c:tickLblPos val="nextTo"/>
        <c:crossAx val="1008181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Dashboard.xlsx]Pivot Report!PivotTable6</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Report'!$L$9:$L$39</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Report'!$M$9:$M$39</c:f>
              <c:numCache>
                <c:formatCode>0.00</c:formatCode>
                <c:ptCount val="30"/>
                <c:pt idx="0">
                  <c:v>4.5</c:v>
                </c:pt>
                <c:pt idx="1">
                  <c:v>4.666666666666667</c:v>
                </c:pt>
                <c:pt idx="2">
                  <c:v>7.4</c:v>
                </c:pt>
                <c:pt idx="3">
                  <c:v>4.5</c:v>
                </c:pt>
                <c:pt idx="4">
                  <c:v>4.8</c:v>
                </c:pt>
                <c:pt idx="5">
                  <c:v>4.75</c:v>
                </c:pt>
                <c:pt idx="6">
                  <c:v>2.25</c:v>
                </c:pt>
                <c:pt idx="7">
                  <c:v>4</c:v>
                </c:pt>
                <c:pt idx="8">
                  <c:v>6.666666666666667</c:v>
                </c:pt>
                <c:pt idx="9">
                  <c:v>2.6666666666666665</c:v>
                </c:pt>
                <c:pt idx="10">
                  <c:v>3.6666666666666665</c:v>
                </c:pt>
                <c:pt idx="11">
                  <c:v>4</c:v>
                </c:pt>
                <c:pt idx="12">
                  <c:v>7.5</c:v>
                </c:pt>
                <c:pt idx="13">
                  <c:v>5.5</c:v>
                </c:pt>
                <c:pt idx="14">
                  <c:v>7.5</c:v>
                </c:pt>
                <c:pt idx="15">
                  <c:v>5</c:v>
                </c:pt>
                <c:pt idx="16">
                  <c:v>3.5</c:v>
                </c:pt>
                <c:pt idx="17">
                  <c:v>6.5</c:v>
                </c:pt>
                <c:pt idx="18">
                  <c:v>5.833333333333333</c:v>
                </c:pt>
                <c:pt idx="19">
                  <c:v>4.5</c:v>
                </c:pt>
                <c:pt idx="20">
                  <c:v>3.75</c:v>
                </c:pt>
                <c:pt idx="21">
                  <c:v>10</c:v>
                </c:pt>
                <c:pt idx="22">
                  <c:v>4</c:v>
                </c:pt>
                <c:pt idx="23">
                  <c:v>8.3333333333333339</c:v>
                </c:pt>
                <c:pt idx="24">
                  <c:v>3.25</c:v>
                </c:pt>
                <c:pt idx="25">
                  <c:v>6</c:v>
                </c:pt>
                <c:pt idx="26">
                  <c:v>6</c:v>
                </c:pt>
                <c:pt idx="27">
                  <c:v>3.3333333333333335</c:v>
                </c:pt>
                <c:pt idx="28">
                  <c:v>6.666666666666667</c:v>
                </c:pt>
                <c:pt idx="29">
                  <c:v>5.625</c:v>
                </c:pt>
              </c:numCache>
            </c:numRef>
          </c:val>
          <c:extLst>
            <c:ext xmlns:c16="http://schemas.microsoft.com/office/drawing/2014/chart" uri="{C3380CC4-5D6E-409C-BE32-E72D297353CC}">
              <c16:uniqueId val="{00000001-E307-484E-8081-D8D62DD8BAD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1244751"/>
        <c:axId val="81247271"/>
      </c:areaChart>
      <c:catAx>
        <c:axId val="812447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1247271"/>
        <c:crosses val="autoZero"/>
        <c:auto val="1"/>
        <c:lblAlgn val="ctr"/>
        <c:lblOffset val="100"/>
        <c:noMultiLvlLbl val="0"/>
      </c:catAx>
      <c:valAx>
        <c:axId val="81247271"/>
        <c:scaling>
          <c:orientation val="minMax"/>
        </c:scaling>
        <c:delete val="1"/>
        <c:axPos val="l"/>
        <c:numFmt formatCode="0.00" sourceLinked="1"/>
        <c:majorTickMark val="out"/>
        <c:minorTickMark val="none"/>
        <c:tickLblPos val="nextTo"/>
        <c:crossAx val="81244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chart" Target="../charts/chart2.xml"/><Relationship Id="rId12" Type="http://schemas.openxmlformats.org/officeDocument/2006/relationships/chart" Target="../charts/chart4.xml"/><Relationship Id="rId17" Type="http://schemas.openxmlformats.org/officeDocument/2006/relationships/image" Target="../media/image8.emf"/><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hyperlink" Target="#'Daily ER No of Patient '!A1"/><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hyperlink" Target="#'Avg wait Time'!A1"/><Relationship Id="rId4" Type="http://schemas.openxmlformats.org/officeDocument/2006/relationships/image" Target="../media/image4.png"/><Relationship Id="rId9" Type="http://schemas.openxmlformats.org/officeDocument/2006/relationships/image" Target="../media/image7.svg"/><Relationship Id="rId1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0</xdr:colOff>
      <xdr:row>46</xdr:row>
      <xdr:rowOff>0</xdr:rowOff>
    </xdr:from>
    <xdr:to>
      <xdr:col>3</xdr:col>
      <xdr:colOff>1479176</xdr:colOff>
      <xdr:row>49</xdr:row>
      <xdr:rowOff>166687</xdr:rowOff>
    </xdr:to>
    <xdr:graphicFrame macro="">
      <xdr:nvGraphicFramePr>
        <xdr:cNvPr id="11" name="Chart 10">
          <a:extLst>
            <a:ext uri="{FF2B5EF4-FFF2-40B4-BE49-F238E27FC236}">
              <a16:creationId xmlns:a16="http://schemas.microsoft.com/office/drawing/2014/main" id="{5A3981CB-29D9-47F6-AB27-97E8EB0DF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68296</xdr:colOff>
      <xdr:row>0</xdr:row>
      <xdr:rowOff>72250</xdr:rowOff>
    </xdr:from>
    <xdr:to>
      <xdr:col>6</xdr:col>
      <xdr:colOff>90709</xdr:colOff>
      <xdr:row>3</xdr:row>
      <xdr:rowOff>175344</xdr:rowOff>
    </xdr:to>
    <xdr:sp macro="" textlink="">
      <xdr:nvSpPr>
        <xdr:cNvPr id="2" name="Rectangle: Rounded Corners 1">
          <a:extLst>
            <a:ext uri="{FF2B5EF4-FFF2-40B4-BE49-F238E27FC236}">
              <a16:creationId xmlns:a16="http://schemas.microsoft.com/office/drawing/2014/main" id="{575A1A08-92BF-960F-59C9-D2A5252D292F}"/>
            </a:ext>
          </a:extLst>
        </xdr:cNvPr>
        <xdr:cNvSpPr/>
      </xdr:nvSpPr>
      <xdr:spPr>
        <a:xfrm>
          <a:off x="68296" y="72250"/>
          <a:ext cx="3692045" cy="644515"/>
        </a:xfrm>
        <a:prstGeom prst="roundRect">
          <a:avLst>
            <a:gd name="adj" fmla="val 70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130342</xdr:colOff>
      <xdr:row>0</xdr:row>
      <xdr:rowOff>62753</xdr:rowOff>
    </xdr:from>
    <xdr:to>
      <xdr:col>8</xdr:col>
      <xdr:colOff>22413</xdr:colOff>
      <xdr:row>3</xdr:row>
      <xdr:rowOff>165847</xdr:rowOff>
    </xdr:to>
    <xdr:sp macro="" textlink="">
      <xdr:nvSpPr>
        <xdr:cNvPr id="4" name="Rectangle: Rounded Corners 3">
          <a:extLst>
            <a:ext uri="{FF2B5EF4-FFF2-40B4-BE49-F238E27FC236}">
              <a16:creationId xmlns:a16="http://schemas.microsoft.com/office/drawing/2014/main" id="{8080CFEF-7F4E-41FB-9104-0A6DA366E660}"/>
            </a:ext>
          </a:extLst>
        </xdr:cNvPr>
        <xdr:cNvSpPr/>
      </xdr:nvSpPr>
      <xdr:spPr>
        <a:xfrm>
          <a:off x="3799974" y="62753"/>
          <a:ext cx="1115281" cy="644515"/>
        </a:xfrm>
        <a:prstGeom prst="roundRect">
          <a:avLst>
            <a:gd name="adj" fmla="val 70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103093</xdr:colOff>
      <xdr:row>0</xdr:row>
      <xdr:rowOff>53790</xdr:rowOff>
    </xdr:from>
    <xdr:to>
      <xdr:col>10</xdr:col>
      <xdr:colOff>567069</xdr:colOff>
      <xdr:row>8</xdr:row>
      <xdr:rowOff>124048</xdr:rowOff>
    </xdr:to>
    <xdr:sp macro="" textlink="">
      <xdr:nvSpPr>
        <xdr:cNvPr id="5" name="Rectangle: Rounded Corners 4">
          <a:extLst>
            <a:ext uri="{FF2B5EF4-FFF2-40B4-BE49-F238E27FC236}">
              <a16:creationId xmlns:a16="http://schemas.microsoft.com/office/drawing/2014/main" id="{7DB96C70-2A8D-4520-A577-EBC49D1EEEA6}"/>
            </a:ext>
          </a:extLst>
        </xdr:cNvPr>
        <xdr:cNvSpPr/>
      </xdr:nvSpPr>
      <xdr:spPr>
        <a:xfrm>
          <a:off x="4970442" y="53790"/>
          <a:ext cx="1680813" cy="1535188"/>
        </a:xfrm>
        <a:prstGeom prst="roundRect">
          <a:avLst>
            <a:gd name="adj" fmla="val 70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63383</xdr:colOff>
      <xdr:row>4</xdr:row>
      <xdr:rowOff>33830</xdr:rowOff>
    </xdr:from>
    <xdr:to>
      <xdr:col>1</xdr:col>
      <xdr:colOff>188713</xdr:colOff>
      <xdr:row>19</xdr:row>
      <xdr:rowOff>158964</xdr:rowOff>
    </xdr:to>
    <xdr:sp macro="" textlink="">
      <xdr:nvSpPr>
        <xdr:cNvPr id="7" name="Rectangle: Rounded Corners 6">
          <a:extLst>
            <a:ext uri="{FF2B5EF4-FFF2-40B4-BE49-F238E27FC236}">
              <a16:creationId xmlns:a16="http://schemas.microsoft.com/office/drawing/2014/main" id="{527FA161-9B0B-4302-899F-5293BCD055B8}"/>
            </a:ext>
          </a:extLst>
        </xdr:cNvPr>
        <xdr:cNvSpPr/>
      </xdr:nvSpPr>
      <xdr:spPr>
        <a:xfrm>
          <a:off x="63383" y="766295"/>
          <a:ext cx="733749" cy="2871878"/>
        </a:xfrm>
        <a:prstGeom prst="roundRect">
          <a:avLst>
            <a:gd name="adj" fmla="val 70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280737</xdr:colOff>
      <xdr:row>4</xdr:row>
      <xdr:rowOff>55319</xdr:rowOff>
    </xdr:from>
    <xdr:to>
      <xdr:col>3</xdr:col>
      <xdr:colOff>300789</xdr:colOff>
      <xdr:row>8</xdr:row>
      <xdr:rowOff>175461</xdr:rowOff>
    </xdr:to>
    <xdr:sp macro="" textlink="">
      <xdr:nvSpPr>
        <xdr:cNvPr id="8" name="Rectangle: Rounded Corners 7">
          <a:extLst>
            <a:ext uri="{FF2B5EF4-FFF2-40B4-BE49-F238E27FC236}">
              <a16:creationId xmlns:a16="http://schemas.microsoft.com/office/drawing/2014/main" id="{369A2FC0-E998-49AA-B1FC-05624155759D}"/>
            </a:ext>
          </a:extLst>
        </xdr:cNvPr>
        <xdr:cNvSpPr/>
      </xdr:nvSpPr>
      <xdr:spPr>
        <a:xfrm>
          <a:off x="892342" y="777214"/>
          <a:ext cx="1243263" cy="842036"/>
        </a:xfrm>
        <a:prstGeom prst="roundRect">
          <a:avLst>
            <a:gd name="adj" fmla="val 70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421332</xdr:colOff>
      <xdr:row>4</xdr:row>
      <xdr:rowOff>42669</xdr:rowOff>
    </xdr:from>
    <xdr:to>
      <xdr:col>5</xdr:col>
      <xdr:colOff>441385</xdr:colOff>
      <xdr:row>8</xdr:row>
      <xdr:rowOff>162811</xdr:rowOff>
    </xdr:to>
    <xdr:sp macro="" textlink="">
      <xdr:nvSpPr>
        <xdr:cNvPr id="9" name="Rectangle: Rounded Corners 8">
          <a:extLst>
            <a:ext uri="{FF2B5EF4-FFF2-40B4-BE49-F238E27FC236}">
              <a16:creationId xmlns:a16="http://schemas.microsoft.com/office/drawing/2014/main" id="{C82CCA41-9CF6-444F-B0FA-DE31FA10FE6E}"/>
            </a:ext>
          </a:extLst>
        </xdr:cNvPr>
        <xdr:cNvSpPr/>
      </xdr:nvSpPr>
      <xdr:spPr>
        <a:xfrm>
          <a:off x="2256148" y="764564"/>
          <a:ext cx="1243263" cy="842036"/>
        </a:xfrm>
        <a:prstGeom prst="roundRect">
          <a:avLst>
            <a:gd name="adj" fmla="val 70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581412</xdr:colOff>
      <xdr:row>4</xdr:row>
      <xdr:rowOff>23694</xdr:rowOff>
    </xdr:from>
    <xdr:to>
      <xdr:col>7</xdr:col>
      <xdr:colOff>601464</xdr:colOff>
      <xdr:row>8</xdr:row>
      <xdr:rowOff>143836</xdr:rowOff>
    </xdr:to>
    <xdr:sp macro="" textlink="">
      <xdr:nvSpPr>
        <xdr:cNvPr id="10" name="Rectangle: Rounded Corners 9">
          <a:extLst>
            <a:ext uri="{FF2B5EF4-FFF2-40B4-BE49-F238E27FC236}">
              <a16:creationId xmlns:a16="http://schemas.microsoft.com/office/drawing/2014/main" id="{F57A0895-7001-4049-82D2-3F96AFCFD66B}"/>
            </a:ext>
          </a:extLst>
        </xdr:cNvPr>
        <xdr:cNvSpPr/>
      </xdr:nvSpPr>
      <xdr:spPr>
        <a:xfrm>
          <a:off x="3639438" y="745589"/>
          <a:ext cx="1243263" cy="842036"/>
        </a:xfrm>
        <a:prstGeom prst="roundRect">
          <a:avLst>
            <a:gd name="adj" fmla="val 70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235618</xdr:colOff>
      <xdr:row>13</xdr:row>
      <xdr:rowOff>5014</xdr:rowOff>
    </xdr:from>
    <xdr:to>
      <xdr:col>7</xdr:col>
      <xdr:colOff>203199</xdr:colOff>
      <xdr:row>19</xdr:row>
      <xdr:rowOff>180622</xdr:rowOff>
    </xdr:to>
    <xdr:sp macro="" textlink="">
      <xdr:nvSpPr>
        <xdr:cNvPr id="13" name="Rectangle: Rounded Corners 12">
          <a:extLst>
            <a:ext uri="{FF2B5EF4-FFF2-40B4-BE49-F238E27FC236}">
              <a16:creationId xmlns:a16="http://schemas.microsoft.com/office/drawing/2014/main" id="{7905E97E-E489-4A23-A110-BAA707E04FF6}"/>
            </a:ext>
          </a:extLst>
        </xdr:cNvPr>
        <xdr:cNvSpPr/>
      </xdr:nvSpPr>
      <xdr:spPr>
        <a:xfrm>
          <a:off x="845218" y="2353103"/>
          <a:ext cx="3625181" cy="1259341"/>
        </a:xfrm>
        <a:prstGeom prst="roundRect">
          <a:avLst>
            <a:gd name="adj" fmla="val 70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308810</xdr:colOff>
      <xdr:row>9</xdr:row>
      <xdr:rowOff>70184</xdr:rowOff>
    </xdr:from>
    <xdr:to>
      <xdr:col>14</xdr:col>
      <xdr:colOff>132184</xdr:colOff>
      <xdr:row>19</xdr:row>
      <xdr:rowOff>170447</xdr:rowOff>
    </xdr:to>
    <xdr:sp macro="" textlink="">
      <xdr:nvSpPr>
        <xdr:cNvPr id="18" name="Rectangle: Rounded Corners 17">
          <a:extLst>
            <a:ext uri="{FF2B5EF4-FFF2-40B4-BE49-F238E27FC236}">
              <a16:creationId xmlns:a16="http://schemas.microsoft.com/office/drawing/2014/main" id="{723F159E-47B3-4581-AA28-8E20292FB926}"/>
            </a:ext>
          </a:extLst>
        </xdr:cNvPr>
        <xdr:cNvSpPr/>
      </xdr:nvSpPr>
      <xdr:spPr>
        <a:xfrm>
          <a:off x="4554239" y="1749694"/>
          <a:ext cx="4068802" cy="1966386"/>
        </a:xfrm>
        <a:prstGeom prst="roundRect">
          <a:avLst>
            <a:gd name="adj" fmla="val 70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196827</xdr:colOff>
      <xdr:row>0</xdr:row>
      <xdr:rowOff>164820</xdr:rowOff>
    </xdr:from>
    <xdr:to>
      <xdr:col>6</xdr:col>
      <xdr:colOff>15459</xdr:colOff>
      <xdr:row>2</xdr:row>
      <xdr:rowOff>100164</xdr:rowOff>
    </xdr:to>
    <xdr:sp macro="" textlink="">
      <xdr:nvSpPr>
        <xdr:cNvPr id="20" name="TextBox 19">
          <a:extLst>
            <a:ext uri="{FF2B5EF4-FFF2-40B4-BE49-F238E27FC236}">
              <a16:creationId xmlns:a16="http://schemas.microsoft.com/office/drawing/2014/main" id="{BACF948C-0698-7A5C-0DE4-5E23A8217DDA}"/>
            </a:ext>
          </a:extLst>
        </xdr:cNvPr>
        <xdr:cNvSpPr txBox="1"/>
      </xdr:nvSpPr>
      <xdr:spPr>
        <a:xfrm>
          <a:off x="808432" y="164820"/>
          <a:ext cx="2876659" cy="296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400"/>
            <a:t>Hospital Emergency</a:t>
          </a:r>
          <a:r>
            <a:rPr lang="en-IN" sz="1400" baseline="0"/>
            <a:t> Room Dashboard</a:t>
          </a:r>
          <a:endParaRPr lang="en-IN" sz="1400"/>
        </a:p>
      </xdr:txBody>
    </xdr:sp>
    <xdr:clientData/>
  </xdr:twoCellAnchor>
  <xdr:twoCellAnchor editAs="oneCell">
    <xdr:from>
      <xdr:col>0</xdr:col>
      <xdr:colOff>80211</xdr:colOff>
      <xdr:row>0</xdr:row>
      <xdr:rowOff>124542</xdr:rowOff>
    </xdr:from>
    <xdr:to>
      <xdr:col>1</xdr:col>
      <xdr:colOff>206161</xdr:colOff>
      <xdr:row>4</xdr:row>
      <xdr:rowOff>19638</xdr:rowOff>
    </xdr:to>
    <xdr:pic>
      <xdr:nvPicPr>
        <xdr:cNvPr id="22" name="Picture 21">
          <a:extLst>
            <a:ext uri="{FF2B5EF4-FFF2-40B4-BE49-F238E27FC236}">
              <a16:creationId xmlns:a16="http://schemas.microsoft.com/office/drawing/2014/main" id="{D6128A5D-0628-8ECA-8B31-38FFB166B96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235" t="11429" r="16912" b="3808"/>
        <a:stretch>
          <a:fillRect/>
        </a:stretch>
      </xdr:blipFill>
      <xdr:spPr>
        <a:xfrm>
          <a:off x="80211" y="124542"/>
          <a:ext cx="737555" cy="616991"/>
        </a:xfrm>
        <a:prstGeom prst="rect">
          <a:avLst/>
        </a:prstGeom>
      </xdr:spPr>
    </xdr:pic>
    <xdr:clientData/>
  </xdr:twoCellAnchor>
  <xdr:twoCellAnchor editAs="absolute">
    <xdr:from>
      <xdr:col>1</xdr:col>
      <xdr:colOff>338138</xdr:colOff>
      <xdr:row>5</xdr:row>
      <xdr:rowOff>143436</xdr:rowOff>
    </xdr:from>
    <xdr:to>
      <xdr:col>3</xdr:col>
      <xdr:colOff>347662</xdr:colOff>
      <xdr:row>6</xdr:row>
      <xdr:rowOff>176212</xdr:rowOff>
    </xdr:to>
    <xdr:sp macro="" textlink="">
      <xdr:nvSpPr>
        <xdr:cNvPr id="25" name="TextBox 24">
          <a:extLst>
            <a:ext uri="{FF2B5EF4-FFF2-40B4-BE49-F238E27FC236}">
              <a16:creationId xmlns:a16="http://schemas.microsoft.com/office/drawing/2014/main" id="{D7BE4E00-F3DC-452D-BE72-4F6906E50039}"/>
            </a:ext>
          </a:extLst>
        </xdr:cNvPr>
        <xdr:cNvSpPr txBox="1"/>
      </xdr:nvSpPr>
      <xdr:spPr>
        <a:xfrm>
          <a:off x="947738" y="1048311"/>
          <a:ext cx="1228724" cy="213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No.</a:t>
          </a:r>
          <a:r>
            <a:rPr lang="en-IN" sz="900" baseline="0"/>
            <a:t> Of Patients</a:t>
          </a:r>
          <a:endParaRPr lang="en-IN" sz="900"/>
        </a:p>
      </xdr:txBody>
    </xdr:sp>
    <xdr:clientData/>
  </xdr:twoCellAnchor>
  <xdr:twoCellAnchor editAs="absolute">
    <xdr:from>
      <xdr:col>1</xdr:col>
      <xdr:colOff>347663</xdr:colOff>
      <xdr:row>4</xdr:row>
      <xdr:rowOff>129149</xdr:rowOff>
    </xdr:from>
    <xdr:to>
      <xdr:col>3</xdr:col>
      <xdr:colOff>357187</xdr:colOff>
      <xdr:row>5</xdr:row>
      <xdr:rowOff>161925</xdr:rowOff>
    </xdr:to>
    <xdr:sp macro="" textlink="'Pivot Report'!A7">
      <xdr:nvSpPr>
        <xdr:cNvPr id="27" name="TextBox 26">
          <a:extLst>
            <a:ext uri="{FF2B5EF4-FFF2-40B4-BE49-F238E27FC236}">
              <a16:creationId xmlns:a16="http://schemas.microsoft.com/office/drawing/2014/main" id="{331B7460-EE45-4B08-A2B5-ED30884FE2F3}"/>
            </a:ext>
          </a:extLst>
        </xdr:cNvPr>
        <xdr:cNvSpPr txBox="1"/>
      </xdr:nvSpPr>
      <xdr:spPr>
        <a:xfrm>
          <a:off x="957263" y="853049"/>
          <a:ext cx="1228724" cy="213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7E3B6E0-7F8D-408C-BC78-F3B33B934F64}" type="TxLink">
            <a:rPr lang="en-US" sz="1100" b="0" i="0" u="none" strike="noStrike">
              <a:solidFill>
                <a:srgbClr val="000000"/>
              </a:solidFill>
              <a:latin typeface="Calibri"/>
              <a:ea typeface="Calibri"/>
              <a:cs typeface="Calibri"/>
            </a:rPr>
            <a:pPr algn="ctr"/>
            <a:t>530</a:t>
          </a:fld>
          <a:endParaRPr lang="en-US"/>
        </a:p>
      </xdr:txBody>
    </xdr:sp>
    <xdr:clientData/>
  </xdr:twoCellAnchor>
  <xdr:twoCellAnchor editAs="absolute">
    <xdr:from>
      <xdr:col>2</xdr:col>
      <xdr:colOff>51846</xdr:colOff>
      <xdr:row>2</xdr:row>
      <xdr:rowOff>40722</xdr:rowOff>
    </xdr:from>
    <xdr:to>
      <xdr:col>4</xdr:col>
      <xdr:colOff>247994</xdr:colOff>
      <xdr:row>3</xdr:row>
      <xdr:rowOff>154609</xdr:rowOff>
    </xdr:to>
    <xdr:sp macro="" textlink="">
      <xdr:nvSpPr>
        <xdr:cNvPr id="29" name="TextBox 28">
          <a:extLst>
            <a:ext uri="{FF2B5EF4-FFF2-40B4-BE49-F238E27FC236}">
              <a16:creationId xmlns:a16="http://schemas.microsoft.com/office/drawing/2014/main" id="{6E4FFF49-FF79-4A69-AC27-9A4CE68743DB}"/>
            </a:ext>
          </a:extLst>
        </xdr:cNvPr>
        <xdr:cNvSpPr txBox="1"/>
      </xdr:nvSpPr>
      <xdr:spPr>
        <a:xfrm>
          <a:off x="1271046" y="401966"/>
          <a:ext cx="1415348" cy="294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Monthly</a:t>
          </a:r>
          <a:r>
            <a:rPr lang="en-IN" sz="1000" baseline="0"/>
            <a:t> Report</a:t>
          </a:r>
          <a:endParaRPr lang="en-IN" sz="1000"/>
        </a:p>
      </xdr:txBody>
    </xdr:sp>
    <xdr:clientData/>
  </xdr:twoCellAnchor>
  <xdr:twoCellAnchor editAs="absolute">
    <xdr:from>
      <xdr:col>3</xdr:col>
      <xdr:colOff>466726</xdr:colOff>
      <xdr:row>5</xdr:row>
      <xdr:rowOff>143436</xdr:rowOff>
    </xdr:from>
    <xdr:to>
      <xdr:col>5</xdr:col>
      <xdr:colOff>476250</xdr:colOff>
      <xdr:row>6</xdr:row>
      <xdr:rowOff>176212</xdr:rowOff>
    </xdr:to>
    <xdr:sp macro="" textlink="">
      <xdr:nvSpPr>
        <xdr:cNvPr id="30" name="TextBox 29">
          <a:extLst>
            <a:ext uri="{FF2B5EF4-FFF2-40B4-BE49-F238E27FC236}">
              <a16:creationId xmlns:a16="http://schemas.microsoft.com/office/drawing/2014/main" id="{3E14CC0C-E433-6F53-ADB0-94D95F23D1F6}"/>
            </a:ext>
          </a:extLst>
        </xdr:cNvPr>
        <xdr:cNvSpPr txBox="1"/>
      </xdr:nvSpPr>
      <xdr:spPr>
        <a:xfrm>
          <a:off x="2295526" y="1048311"/>
          <a:ext cx="1228724" cy="213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aseline="0"/>
            <a:t>AVG Wait Time</a:t>
          </a:r>
          <a:endParaRPr lang="en-IN" sz="900"/>
        </a:p>
      </xdr:txBody>
    </xdr:sp>
    <xdr:clientData/>
  </xdr:twoCellAnchor>
  <xdr:twoCellAnchor editAs="absolute">
    <xdr:from>
      <xdr:col>3</xdr:col>
      <xdr:colOff>457205</xdr:colOff>
      <xdr:row>4</xdr:row>
      <xdr:rowOff>129149</xdr:rowOff>
    </xdr:from>
    <xdr:to>
      <xdr:col>5</xdr:col>
      <xdr:colOff>466729</xdr:colOff>
      <xdr:row>5</xdr:row>
      <xdr:rowOff>161925</xdr:rowOff>
    </xdr:to>
    <xdr:sp macro="" textlink="'Pivot Report'!A14">
      <xdr:nvSpPr>
        <xdr:cNvPr id="31" name="TextBox 30">
          <a:extLst>
            <a:ext uri="{FF2B5EF4-FFF2-40B4-BE49-F238E27FC236}">
              <a16:creationId xmlns:a16="http://schemas.microsoft.com/office/drawing/2014/main" id="{1D55A539-E866-F594-557F-818BA637B38B}"/>
            </a:ext>
          </a:extLst>
        </xdr:cNvPr>
        <xdr:cNvSpPr txBox="1"/>
      </xdr:nvSpPr>
      <xdr:spPr>
        <a:xfrm>
          <a:off x="2286005" y="853049"/>
          <a:ext cx="1228724" cy="213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D1F6F67-BB39-48AC-B138-D6230F9A11E9}" type="TxLink">
            <a:rPr lang="en-US" sz="1100" b="0" i="0" u="none" strike="noStrike">
              <a:solidFill>
                <a:srgbClr val="000000"/>
              </a:solidFill>
              <a:latin typeface="Calibri"/>
              <a:ea typeface="Calibri"/>
              <a:cs typeface="Calibri"/>
            </a:rPr>
            <a:pPr algn="ctr"/>
            <a:t>35.11</a:t>
          </a:fld>
          <a:endParaRPr lang="en-US"/>
        </a:p>
      </xdr:txBody>
    </xdr:sp>
    <xdr:clientData/>
  </xdr:twoCellAnchor>
  <xdr:twoCellAnchor editAs="absolute">
    <xdr:from>
      <xdr:col>5</xdr:col>
      <xdr:colOff>595314</xdr:colOff>
      <xdr:row>5</xdr:row>
      <xdr:rowOff>143436</xdr:rowOff>
    </xdr:from>
    <xdr:to>
      <xdr:col>7</xdr:col>
      <xdr:colOff>604838</xdr:colOff>
      <xdr:row>6</xdr:row>
      <xdr:rowOff>176212</xdr:rowOff>
    </xdr:to>
    <xdr:sp macro="" textlink="">
      <xdr:nvSpPr>
        <xdr:cNvPr id="32" name="TextBox 31">
          <a:extLst>
            <a:ext uri="{FF2B5EF4-FFF2-40B4-BE49-F238E27FC236}">
              <a16:creationId xmlns:a16="http://schemas.microsoft.com/office/drawing/2014/main" id="{B68AC074-0610-1518-364A-8F60A8115226}"/>
            </a:ext>
          </a:extLst>
        </xdr:cNvPr>
        <xdr:cNvSpPr txBox="1"/>
      </xdr:nvSpPr>
      <xdr:spPr>
        <a:xfrm>
          <a:off x="3643314" y="1048311"/>
          <a:ext cx="1228724" cy="213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baseline="0"/>
            <a:t>Patient Sastifaction Score</a:t>
          </a:r>
          <a:endParaRPr lang="en-IN" sz="900"/>
        </a:p>
      </xdr:txBody>
    </xdr:sp>
    <xdr:clientData/>
  </xdr:twoCellAnchor>
  <xdr:twoCellAnchor editAs="absolute">
    <xdr:from>
      <xdr:col>5</xdr:col>
      <xdr:colOff>605531</xdr:colOff>
      <xdr:row>4</xdr:row>
      <xdr:rowOff>137994</xdr:rowOff>
    </xdr:from>
    <xdr:to>
      <xdr:col>8</xdr:col>
      <xdr:colOff>5455</xdr:colOff>
      <xdr:row>5</xdr:row>
      <xdr:rowOff>170770</xdr:rowOff>
    </xdr:to>
    <xdr:sp macro="" textlink="'Pivot Report'!A18">
      <xdr:nvSpPr>
        <xdr:cNvPr id="33" name="TextBox 32">
          <a:extLst>
            <a:ext uri="{FF2B5EF4-FFF2-40B4-BE49-F238E27FC236}">
              <a16:creationId xmlns:a16="http://schemas.microsoft.com/office/drawing/2014/main" id="{0C9AC420-74FE-49D7-8EE4-C214541A358A}"/>
            </a:ext>
          </a:extLst>
        </xdr:cNvPr>
        <xdr:cNvSpPr txBox="1"/>
      </xdr:nvSpPr>
      <xdr:spPr>
        <a:xfrm>
          <a:off x="3653531" y="861894"/>
          <a:ext cx="1228724" cy="213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54AC275-206D-4E97-A371-AE2BA01FFF44}" type="TxLink">
            <a:rPr lang="en-US" sz="1100" b="0" i="0" u="none" strike="noStrike">
              <a:solidFill>
                <a:srgbClr val="000000"/>
              </a:solidFill>
              <a:latin typeface="Calibri"/>
              <a:ea typeface="Calibri"/>
              <a:cs typeface="Calibri"/>
            </a:rPr>
            <a:pPr algn="ctr"/>
            <a:t>5.18</a:t>
          </a:fld>
          <a:endParaRPr lang="en-US"/>
        </a:p>
      </xdr:txBody>
    </xdr:sp>
    <xdr:clientData/>
  </xdr:twoCellAnchor>
  <xdr:twoCellAnchor editAs="oneCell">
    <xdr:from>
      <xdr:col>2</xdr:col>
      <xdr:colOff>595313</xdr:colOff>
      <xdr:row>4</xdr:row>
      <xdr:rowOff>47625</xdr:rowOff>
    </xdr:from>
    <xdr:to>
      <xdr:col>3</xdr:col>
      <xdr:colOff>304800</xdr:colOff>
      <xdr:row>6</xdr:row>
      <xdr:rowOff>4762</xdr:rowOff>
    </xdr:to>
    <xdr:pic>
      <xdr:nvPicPr>
        <xdr:cNvPr id="35" name="Graphic 34" descr="Male profile">
          <a:extLst>
            <a:ext uri="{FF2B5EF4-FFF2-40B4-BE49-F238E27FC236}">
              <a16:creationId xmlns:a16="http://schemas.microsoft.com/office/drawing/2014/main" id="{2F6F06BD-A0D3-E2BE-6CB3-8EE1F83407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14513" y="771525"/>
          <a:ext cx="319087" cy="319087"/>
        </a:xfrm>
        <a:prstGeom prst="rect">
          <a:avLst/>
        </a:prstGeom>
      </xdr:spPr>
    </xdr:pic>
    <xdr:clientData/>
  </xdr:twoCellAnchor>
  <xdr:twoCellAnchor editAs="oneCell">
    <xdr:from>
      <xdr:col>5</xdr:col>
      <xdr:colOff>164288</xdr:colOff>
      <xdr:row>4</xdr:row>
      <xdr:rowOff>73800</xdr:rowOff>
    </xdr:from>
    <xdr:to>
      <xdr:col>5</xdr:col>
      <xdr:colOff>423863</xdr:colOff>
      <xdr:row>5</xdr:row>
      <xdr:rowOff>152400</xdr:rowOff>
    </xdr:to>
    <xdr:pic>
      <xdr:nvPicPr>
        <xdr:cNvPr id="37" name="Graphic 36" descr="Alarm clock">
          <a:extLst>
            <a:ext uri="{FF2B5EF4-FFF2-40B4-BE49-F238E27FC236}">
              <a16:creationId xmlns:a16="http://schemas.microsoft.com/office/drawing/2014/main" id="{A2B94E3D-C554-5C84-5750-E383861D3C6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212288" y="797700"/>
          <a:ext cx="259575" cy="259575"/>
        </a:xfrm>
        <a:prstGeom prst="rect">
          <a:avLst/>
        </a:prstGeom>
      </xdr:spPr>
    </xdr:pic>
    <xdr:clientData/>
  </xdr:twoCellAnchor>
  <xdr:twoCellAnchor>
    <xdr:from>
      <xdr:col>1</xdr:col>
      <xdr:colOff>230605</xdr:colOff>
      <xdr:row>4</xdr:row>
      <xdr:rowOff>50132</xdr:rowOff>
    </xdr:from>
    <xdr:to>
      <xdr:col>3</xdr:col>
      <xdr:colOff>305802</xdr:colOff>
      <xdr:row>9</xdr:row>
      <xdr:rowOff>15040</xdr:rowOff>
    </xdr:to>
    <xdr:graphicFrame macro="">
      <xdr:nvGraphicFramePr>
        <xdr:cNvPr id="42" name="Chart 41">
          <a:hlinkClick xmlns:r="http://schemas.openxmlformats.org/officeDocument/2006/relationships" r:id="rId6"/>
          <a:extLst>
            <a:ext uri="{FF2B5EF4-FFF2-40B4-BE49-F238E27FC236}">
              <a16:creationId xmlns:a16="http://schemas.microsoft.com/office/drawing/2014/main" id="{AFF40CC1-12E2-4D97-BAE1-D0DD8450C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261901</xdr:colOff>
      <xdr:row>4</xdr:row>
      <xdr:rowOff>38062</xdr:rowOff>
    </xdr:from>
    <xdr:to>
      <xdr:col>7</xdr:col>
      <xdr:colOff>585788</xdr:colOff>
      <xdr:row>6</xdr:row>
      <xdr:rowOff>500</xdr:rowOff>
    </xdr:to>
    <xdr:pic>
      <xdr:nvPicPr>
        <xdr:cNvPr id="39" name="Graphic 38" descr="Customer review RTL">
          <a:extLst>
            <a:ext uri="{FF2B5EF4-FFF2-40B4-BE49-F238E27FC236}">
              <a16:creationId xmlns:a16="http://schemas.microsoft.com/office/drawing/2014/main" id="{A719EBB5-F56F-486E-4E74-08C84DB974C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29101" y="761962"/>
          <a:ext cx="323887" cy="323887"/>
        </a:xfrm>
        <a:prstGeom prst="rect">
          <a:avLst/>
        </a:prstGeom>
      </xdr:spPr>
    </xdr:pic>
    <xdr:clientData/>
  </xdr:twoCellAnchor>
  <xdr:twoCellAnchor editAs="oneCell">
    <xdr:from>
      <xdr:col>0</xdr:col>
      <xdr:colOff>80755</xdr:colOff>
      <xdr:row>4</xdr:row>
      <xdr:rowOff>51566</xdr:rowOff>
    </xdr:from>
    <xdr:to>
      <xdr:col>1</xdr:col>
      <xdr:colOff>170991</xdr:colOff>
      <xdr:row>19</xdr:row>
      <xdr:rowOff>141767</xdr:rowOff>
    </xdr:to>
    <mc:AlternateContent xmlns:mc="http://schemas.openxmlformats.org/markup-compatibility/2006" xmlns:a14="http://schemas.microsoft.com/office/drawing/2010/main">
      <mc:Choice Requires="a14">
        <xdr:graphicFrame macro="">
          <xdr:nvGraphicFramePr>
            <xdr:cNvPr id="40" name="Date (Month)">
              <a:extLst>
                <a:ext uri="{FF2B5EF4-FFF2-40B4-BE49-F238E27FC236}">
                  <a16:creationId xmlns:a16="http://schemas.microsoft.com/office/drawing/2014/main" id="{C1255D88-44CB-431C-AE4D-C139F0D413A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0755" y="791795"/>
              <a:ext cx="699836" cy="2866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426118</xdr:colOff>
      <xdr:row>5</xdr:row>
      <xdr:rowOff>165435</xdr:rowOff>
    </xdr:from>
    <xdr:to>
      <xdr:col>5</xdr:col>
      <xdr:colOff>471237</xdr:colOff>
      <xdr:row>8</xdr:row>
      <xdr:rowOff>175461</xdr:rowOff>
    </xdr:to>
    <xdr:graphicFrame macro="">
      <xdr:nvGraphicFramePr>
        <xdr:cNvPr id="43" name="Chart 42">
          <a:hlinkClick xmlns:r="http://schemas.openxmlformats.org/officeDocument/2006/relationships" r:id="rId10"/>
          <a:extLst>
            <a:ext uri="{FF2B5EF4-FFF2-40B4-BE49-F238E27FC236}">
              <a16:creationId xmlns:a16="http://schemas.microsoft.com/office/drawing/2014/main" id="{7E239E13-6210-4D5E-A63A-53D7E4341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571500</xdr:colOff>
      <xdr:row>4</xdr:row>
      <xdr:rowOff>40105</xdr:rowOff>
    </xdr:from>
    <xdr:to>
      <xdr:col>7</xdr:col>
      <xdr:colOff>596566</xdr:colOff>
      <xdr:row>9</xdr:row>
      <xdr:rowOff>25067</xdr:rowOff>
    </xdr:to>
    <xdr:graphicFrame macro="">
      <xdr:nvGraphicFramePr>
        <xdr:cNvPr id="44" name="Chart 43">
          <a:extLst>
            <a:ext uri="{FF2B5EF4-FFF2-40B4-BE49-F238E27FC236}">
              <a16:creationId xmlns:a16="http://schemas.microsoft.com/office/drawing/2014/main" id="{7BEB7F48-FC6D-4810-8F43-8B6FAF05F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230372</xdr:colOff>
      <xdr:row>13</xdr:row>
      <xdr:rowOff>34655</xdr:rowOff>
    </xdr:from>
    <xdr:to>
      <xdr:col>7</xdr:col>
      <xdr:colOff>189023</xdr:colOff>
      <xdr:row>18</xdr:row>
      <xdr:rowOff>170121</xdr:rowOff>
    </xdr:to>
    <xdr:graphicFrame macro="">
      <xdr:nvGraphicFramePr>
        <xdr:cNvPr id="57" name="Chart 56">
          <a:extLst>
            <a:ext uri="{FF2B5EF4-FFF2-40B4-BE49-F238E27FC236}">
              <a16:creationId xmlns:a16="http://schemas.microsoft.com/office/drawing/2014/main" id="{771C69E0-C05C-47C6-824C-DAD6EA102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2</xdr:col>
      <xdr:colOff>506550</xdr:colOff>
      <xdr:row>18</xdr:row>
      <xdr:rowOff>124047</xdr:rowOff>
    </xdr:from>
    <xdr:to>
      <xdr:col>6</xdr:col>
      <xdr:colOff>171302</xdr:colOff>
      <xdr:row>19</xdr:row>
      <xdr:rowOff>180622</xdr:rowOff>
    </xdr:to>
    <xdr:sp macro="" textlink="">
      <xdr:nvSpPr>
        <xdr:cNvPr id="58" name="TextBox 57">
          <a:extLst>
            <a:ext uri="{FF2B5EF4-FFF2-40B4-BE49-F238E27FC236}">
              <a16:creationId xmlns:a16="http://schemas.microsoft.com/office/drawing/2014/main" id="{EFEB00BD-CDB6-4BC7-995A-C8B00EDC3F87}"/>
            </a:ext>
          </a:extLst>
        </xdr:cNvPr>
        <xdr:cNvSpPr txBox="1"/>
      </xdr:nvSpPr>
      <xdr:spPr>
        <a:xfrm>
          <a:off x="1723387" y="3420140"/>
          <a:ext cx="2098427" cy="239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No.</a:t>
          </a:r>
          <a:r>
            <a:rPr lang="en-IN" sz="1000" baseline="0"/>
            <a:t> Of patients By Age Group</a:t>
          </a:r>
          <a:endParaRPr lang="en-IN" sz="1000"/>
        </a:p>
      </xdr:txBody>
    </xdr:sp>
    <xdr:clientData/>
  </xdr:twoCellAnchor>
  <xdr:twoCellAnchor>
    <xdr:from>
      <xdr:col>8</xdr:col>
      <xdr:colOff>50748</xdr:colOff>
      <xdr:row>0</xdr:row>
      <xdr:rowOff>50532</xdr:rowOff>
    </xdr:from>
    <xdr:to>
      <xdr:col>10</xdr:col>
      <xdr:colOff>555257</xdr:colOff>
      <xdr:row>8</xdr:row>
      <xdr:rowOff>126731</xdr:rowOff>
    </xdr:to>
    <xdr:graphicFrame macro="">
      <xdr:nvGraphicFramePr>
        <xdr:cNvPr id="59" name="Chart 58">
          <a:extLst>
            <a:ext uri="{FF2B5EF4-FFF2-40B4-BE49-F238E27FC236}">
              <a16:creationId xmlns:a16="http://schemas.microsoft.com/office/drawing/2014/main" id="{E9320924-B587-4849-82A2-65CA25288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11</xdr:col>
      <xdr:colOff>47256</xdr:colOff>
      <xdr:row>0</xdr:row>
      <xdr:rowOff>35128</xdr:rowOff>
    </xdr:from>
    <xdr:to>
      <xdr:col>14</xdr:col>
      <xdr:colOff>51319</xdr:colOff>
      <xdr:row>8</xdr:row>
      <xdr:rowOff>126721</xdr:rowOff>
    </xdr:to>
    <xdr:sp macro="" textlink="">
      <xdr:nvSpPr>
        <xdr:cNvPr id="60" name="Rectangle: Rounded Corners 59">
          <a:extLst>
            <a:ext uri="{FF2B5EF4-FFF2-40B4-BE49-F238E27FC236}">
              <a16:creationId xmlns:a16="http://schemas.microsoft.com/office/drawing/2014/main" id="{797F5A65-CF29-46C3-9D6C-28E77C2C5541}"/>
            </a:ext>
          </a:extLst>
        </xdr:cNvPr>
        <xdr:cNvSpPr/>
      </xdr:nvSpPr>
      <xdr:spPr>
        <a:xfrm>
          <a:off x="6739861" y="35128"/>
          <a:ext cx="1829318" cy="1556523"/>
        </a:xfrm>
        <a:prstGeom prst="roundRect">
          <a:avLst>
            <a:gd name="adj" fmla="val 707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200797</xdr:colOff>
      <xdr:row>7</xdr:row>
      <xdr:rowOff>68253</xdr:rowOff>
    </xdr:from>
    <xdr:to>
      <xdr:col>10</xdr:col>
      <xdr:colOff>396945</xdr:colOff>
      <xdr:row>8</xdr:row>
      <xdr:rowOff>182140</xdr:rowOff>
    </xdr:to>
    <xdr:sp macro="" textlink="">
      <xdr:nvSpPr>
        <xdr:cNvPr id="61" name="TextBox 60">
          <a:extLst>
            <a:ext uri="{FF2B5EF4-FFF2-40B4-BE49-F238E27FC236}">
              <a16:creationId xmlns:a16="http://schemas.microsoft.com/office/drawing/2014/main" id="{2471E57F-6DEA-4571-9886-CDE775912BF0}"/>
            </a:ext>
          </a:extLst>
        </xdr:cNvPr>
        <xdr:cNvSpPr txBox="1"/>
      </xdr:nvSpPr>
      <xdr:spPr>
        <a:xfrm>
          <a:off x="5068146" y="1350067"/>
          <a:ext cx="1412985" cy="297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Patient</a:t>
          </a:r>
          <a:r>
            <a:rPr lang="en-IN" sz="1000" baseline="0"/>
            <a:t> Attend Status</a:t>
          </a:r>
          <a:endParaRPr lang="en-IN" sz="1000"/>
        </a:p>
      </xdr:txBody>
    </xdr:sp>
    <xdr:clientData/>
  </xdr:twoCellAnchor>
  <xdr:twoCellAnchor>
    <xdr:from>
      <xdr:col>11</xdr:col>
      <xdr:colOff>70883</xdr:colOff>
      <xdr:row>0</xdr:row>
      <xdr:rowOff>47256</xdr:rowOff>
    </xdr:from>
    <xdr:to>
      <xdr:col>14</xdr:col>
      <xdr:colOff>29535</xdr:colOff>
      <xdr:row>8</xdr:row>
      <xdr:rowOff>141768</xdr:rowOff>
    </xdr:to>
    <xdr:graphicFrame macro="">
      <xdr:nvGraphicFramePr>
        <xdr:cNvPr id="62" name="Chart 61">
          <a:extLst>
            <a:ext uri="{FF2B5EF4-FFF2-40B4-BE49-F238E27FC236}">
              <a16:creationId xmlns:a16="http://schemas.microsoft.com/office/drawing/2014/main" id="{1AF36854-C424-41B9-BFB2-2F243D473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313070</xdr:colOff>
      <xdr:row>9</xdr:row>
      <xdr:rowOff>94511</xdr:rowOff>
    </xdr:from>
    <xdr:to>
      <xdr:col>14</xdr:col>
      <xdr:colOff>135861</xdr:colOff>
      <xdr:row>19</xdr:row>
      <xdr:rowOff>159489</xdr:rowOff>
    </xdr:to>
    <xdr:graphicFrame macro="">
      <xdr:nvGraphicFramePr>
        <xdr:cNvPr id="63" name="Chart 62">
          <a:extLst>
            <a:ext uri="{FF2B5EF4-FFF2-40B4-BE49-F238E27FC236}">
              <a16:creationId xmlns:a16="http://schemas.microsoft.com/office/drawing/2014/main" id="{AD1C567A-416C-4250-94FB-3A7738F2A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305940</xdr:colOff>
      <xdr:row>18</xdr:row>
      <xdr:rowOff>108421</xdr:rowOff>
    </xdr:from>
    <xdr:to>
      <xdr:col>13</xdr:col>
      <xdr:colOff>135860</xdr:colOff>
      <xdr:row>20</xdr:row>
      <xdr:rowOff>39191</xdr:rowOff>
    </xdr:to>
    <xdr:sp macro="" textlink="">
      <xdr:nvSpPr>
        <xdr:cNvPr id="65" name="TextBox 64">
          <a:extLst>
            <a:ext uri="{FF2B5EF4-FFF2-40B4-BE49-F238E27FC236}">
              <a16:creationId xmlns:a16="http://schemas.microsoft.com/office/drawing/2014/main" id="{B298477F-4693-4660-BB72-818C5B545E27}"/>
            </a:ext>
          </a:extLst>
        </xdr:cNvPr>
        <xdr:cNvSpPr txBox="1"/>
      </xdr:nvSpPr>
      <xdr:spPr>
        <a:xfrm>
          <a:off x="5173289" y="3404514"/>
          <a:ext cx="2872013" cy="297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a:t>No Of Patient</a:t>
          </a:r>
          <a:r>
            <a:rPr lang="en-IN" sz="1000" baseline="0"/>
            <a:t> By Departmental Refferal</a:t>
          </a:r>
          <a:endParaRPr lang="en-IN" sz="1000"/>
        </a:p>
      </xdr:txBody>
    </xdr:sp>
    <xdr:clientData/>
  </xdr:twoCellAnchor>
  <xdr:twoCellAnchor editAs="oneCell">
    <xdr:from>
      <xdr:col>6</xdr:col>
      <xdr:colOff>141303</xdr:colOff>
      <xdr:row>0</xdr:row>
      <xdr:rowOff>130631</xdr:rowOff>
    </xdr:from>
    <xdr:to>
      <xdr:col>7</xdr:col>
      <xdr:colOff>598714</xdr:colOff>
      <xdr:row>3</xdr:row>
      <xdr:rowOff>105061</xdr:rowOff>
    </xdr:to>
    <mc:AlternateContent xmlns:mc="http://schemas.openxmlformats.org/markup-compatibility/2006" xmlns:a14="http://schemas.microsoft.com/office/drawing/2010/main">
      <mc:Choice Requires="a14">
        <xdr:graphicFrame macro="">
          <xdr:nvGraphicFramePr>
            <xdr:cNvPr id="66" name="Date (Year)">
              <a:extLst>
                <a:ext uri="{FF2B5EF4-FFF2-40B4-BE49-F238E27FC236}">
                  <a16:creationId xmlns:a16="http://schemas.microsoft.com/office/drawing/2014/main" id="{8F8CEAFC-15F6-4D20-AD91-EFF521055A5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10192" y="130631"/>
              <a:ext cx="1068892" cy="524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258704</xdr:colOff>
          <xdr:row>9</xdr:row>
          <xdr:rowOff>89369</xdr:rowOff>
        </xdr:from>
        <xdr:to>
          <xdr:col>7</xdr:col>
          <xdr:colOff>216370</xdr:colOff>
          <xdr:row>12</xdr:row>
          <xdr:rowOff>96990</xdr:rowOff>
        </xdr:to>
        <xdr:pic>
          <xdr:nvPicPr>
            <xdr:cNvPr id="6" name="Picture 5">
              <a:extLst>
                <a:ext uri="{FF2B5EF4-FFF2-40B4-BE49-F238E27FC236}">
                  <a16:creationId xmlns:a16="http://schemas.microsoft.com/office/drawing/2014/main" id="{7E5007AD-C295-525A-1160-35A7F0424DB0}"/>
                </a:ext>
              </a:extLst>
            </xdr:cNvPr>
            <xdr:cNvPicPr>
              <a:picLocks noChangeAspect="1" noChangeArrowheads="1"/>
              <a:extLst>
                <a:ext uri="{84589F7E-364E-4C9E-8A38-B11213B215E9}">
                  <a14:cameraTool cellRange="'Pivot Report'!$A$47:$D$49" spid="_x0000_s2074"/>
                </a:ext>
              </a:extLst>
            </xdr:cNvPicPr>
          </xdr:nvPicPr>
          <xdr:blipFill>
            <a:blip xmlns:r="http://schemas.openxmlformats.org/officeDocument/2006/relationships" r:embed="rId17"/>
            <a:srcRect/>
            <a:stretch>
              <a:fillRect/>
            </a:stretch>
          </xdr:blipFill>
          <xdr:spPr bwMode="auto">
            <a:xfrm>
              <a:off x="870185" y="1740369"/>
              <a:ext cx="3626555" cy="557954"/>
            </a:xfrm>
            <a:prstGeom prst="roundRect">
              <a:avLst>
                <a:gd name="adj" fmla="val 16667"/>
              </a:avLst>
            </a:prstGeom>
            <a:solidFill>
              <a:schemeClr val="bg1"/>
            </a:solidFill>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xdr:spPr>
        </xdr:pic>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0.10464</cdr:x>
      <cdr:y>0.8263</cdr:y>
    </cdr:from>
    <cdr:to>
      <cdr:x>0.89671</cdr:x>
      <cdr:y>1</cdr:y>
    </cdr:to>
    <cdr:sp macro="" textlink="">
      <cdr:nvSpPr>
        <cdr:cNvPr id="2" name="TextBox 60">
          <a:extLst xmlns:a="http://schemas.openxmlformats.org/drawingml/2006/main">
            <a:ext uri="{FF2B5EF4-FFF2-40B4-BE49-F238E27FC236}">
              <a16:creationId xmlns:a16="http://schemas.microsoft.com/office/drawing/2014/main" id="{2471E57F-6DEA-4571-9886-CDE775912BF0}"/>
            </a:ext>
          </a:extLst>
        </cdr:cNvPr>
        <cdr:cNvSpPr txBox="1"/>
      </cdr:nvSpPr>
      <cdr:spPr>
        <a:xfrm xmlns:a="http://schemas.openxmlformats.org/drawingml/2006/main">
          <a:off x="186660" y="1294467"/>
          <a:ext cx="1412985" cy="27088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000"/>
            <a:t>Gender</a:t>
          </a:r>
          <a:r>
            <a:rPr lang="en-IN" sz="1000" baseline="0"/>
            <a:t> Wise Analysis</a:t>
          </a:r>
          <a:endParaRPr lang="en-IN" sz="10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127000</xdr:colOff>
      <xdr:row>1</xdr:row>
      <xdr:rowOff>76200</xdr:rowOff>
    </xdr:from>
    <xdr:to>
      <xdr:col>19</xdr:col>
      <xdr:colOff>82550</xdr:colOff>
      <xdr:row>23</xdr:row>
      <xdr:rowOff>40968</xdr:rowOff>
    </xdr:to>
    <xdr:graphicFrame macro="">
      <xdr:nvGraphicFramePr>
        <xdr:cNvPr id="2" name="Chart 1">
          <a:extLst>
            <a:ext uri="{FF2B5EF4-FFF2-40B4-BE49-F238E27FC236}">
              <a16:creationId xmlns:a16="http://schemas.microsoft.com/office/drawing/2014/main" id="{789EF798-879D-4C71-9156-D718694D2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0.075</cdr:x>
      <cdr:y>0.21556</cdr:y>
    </cdr:to>
    <cdr:pic>
      <cdr:nvPicPr>
        <cdr:cNvPr id="3" name="Graphic 2" descr="Hous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10750ED-D649-E40B-2EB7-CDA16C92F29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58925" cy="658925"/>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38100</xdr:colOff>
      <xdr:row>0</xdr:row>
      <xdr:rowOff>0</xdr:rowOff>
    </xdr:from>
    <xdr:to>
      <xdr:col>19</xdr:col>
      <xdr:colOff>69850</xdr:colOff>
      <xdr:row>24</xdr:row>
      <xdr:rowOff>82550</xdr:rowOff>
    </xdr:to>
    <xdr:graphicFrame macro="">
      <xdr:nvGraphicFramePr>
        <xdr:cNvPr id="2" name="Chart 1">
          <a:extLst>
            <a:ext uri="{FF2B5EF4-FFF2-40B4-BE49-F238E27FC236}">
              <a16:creationId xmlns:a16="http://schemas.microsoft.com/office/drawing/2014/main" id="{CEBFE8B1-4ED3-4735-A764-A3970832A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0.0568</cdr:x>
      <cdr:y>0.14898</cdr:y>
    </cdr:to>
    <cdr:pic>
      <cdr:nvPicPr>
        <cdr:cNvPr id="3" name="Graphic 2" descr="Hous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F966EE0-731C-11F8-83EB-5B80D519E38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02920" cy="624393"/>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287312</xdr:colOff>
      <xdr:row>3</xdr:row>
      <xdr:rowOff>4871</xdr:rowOff>
    </xdr:from>
    <xdr:to>
      <xdr:col>30</xdr:col>
      <xdr:colOff>324787</xdr:colOff>
      <xdr:row>43</xdr:row>
      <xdr:rowOff>99935</xdr:rowOff>
    </xdr:to>
    <xdr:graphicFrame macro="">
      <xdr:nvGraphicFramePr>
        <xdr:cNvPr id="3" name="Chart 2">
          <a:extLst>
            <a:ext uri="{FF2B5EF4-FFF2-40B4-BE49-F238E27FC236}">
              <a16:creationId xmlns:a16="http://schemas.microsoft.com/office/drawing/2014/main" id="{30B2E659-ACCA-484A-AE54-E3A12C419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287312</xdr:colOff>
      <xdr:row>3</xdr:row>
      <xdr:rowOff>3</xdr:rowOff>
    </xdr:from>
    <xdr:to>
      <xdr:col>1</xdr:col>
      <xdr:colOff>589614</xdr:colOff>
      <xdr:row>7</xdr:row>
      <xdr:rowOff>164895</xdr:rowOff>
    </xdr:to>
    <xdr:pic>
      <xdr:nvPicPr>
        <xdr:cNvPr id="5" name="Graphic 4" descr="House">
          <a:hlinkClick xmlns:r="http://schemas.openxmlformats.org/officeDocument/2006/relationships" r:id="rId2"/>
          <a:extLst>
            <a:ext uri="{FF2B5EF4-FFF2-40B4-BE49-F238E27FC236}">
              <a16:creationId xmlns:a16="http://schemas.microsoft.com/office/drawing/2014/main" id="{B9D84652-AE18-E308-DC45-ACDE4604C0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7312" y="562134"/>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14699072" createdVersion="5" refreshedVersion="8" minRefreshableVersion="3" recordCount="0" supportSubquery="1" supportAdvancedDrill="1" xr:uid="{C0E69A4A-2C66-4122-9F9A-10163AF071DD}">
  <cacheSource type="external" connectionId="3"/>
  <cacheFields count="4">
    <cacheField name="[Measures].[Distinct Count of Patient Id]" caption="Distinct Count of Patient Id" numFmtId="0" hierarchy="24" level="32767"/>
    <cacheField name="[Calender_Dat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er_Date].[Date (Month)].[Date (Month)]" caption="Date (Month)" numFmtId="0" hierarchy="1" level="1">
      <sharedItems containsSemiMixedTypes="0" containsNonDate="0" containsString="0"/>
    </cacheField>
    <cacheField name="[Calender_Date].[Date (Year)].[Date (Year)]" caption="Date (Year)" numFmtId="0" hierarchy="3" level="1">
      <sharedItems containsSemiMixedTypes="0" containsNonDate="0" containsString="0"/>
    </cacheField>
  </cacheFields>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2"/>
      </fieldsUsage>
    </cacheHierarchy>
    <cacheHierarchy uniqueName="[Calender_Date].[Date (Day)]" caption="Date (Day)" attribute="1" defaultMemberUniqueName="[Calender_Date].[Date (Day)].[All]" allUniqueName="[Calender_Date].[Date (Day)].[All]" dimensionUniqueName="[Calender_Date]" displayFolder="" count="2" memberValueDatatype="130" unbalanced="0">
      <fieldsUsage count="2">
        <fieldUsage x="-1"/>
        <fieldUsage x="1"/>
      </fieldsUsage>
    </cacheHierarchy>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15046295" createdVersion="5" refreshedVersion="8" minRefreshableVersion="3" recordCount="0" supportSubquery="1" supportAdvancedDrill="1" xr:uid="{15965673-ADFF-448F-A02F-FB9715E986A0}">
  <cacheSource type="external" connectionId="3"/>
  <cacheFields count="3">
    <cacheField name="[Measures].[Distinct Count of Patient Id]" caption="Distinct Count of Patient Id" numFmtId="0" hierarchy="24" level="32767"/>
    <cacheField name="[Calender_Date].[Date (Month)].[Date (Month)]" caption="Date (Month)" numFmtId="0" hierarchy="1" level="1">
      <sharedItems containsSemiMixedTypes="0" containsNonDate="0" containsString="0"/>
    </cacheField>
    <cacheField name="[Calender_Date].[Date (Year)].[Date (Year)]" caption="Date (Year)" numFmtId="0" hierarchy="3" level="1">
      <sharedItems containsSemiMixedTypes="0" containsNonDate="0" containsString="0"/>
    </cacheField>
  </cacheFields>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1"/>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2"/>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1527778" createdVersion="5" refreshedVersion="8" minRefreshableVersion="3" recordCount="0" supportSubquery="1" supportAdvancedDrill="1" xr:uid="{DCF04A6D-A0F6-4A07-90BB-720FE22F4DDF}">
  <cacheSource type="external" connectionId="3"/>
  <cacheFields count="3">
    <cacheField name="[Measures].[Average of Patient Waittime]" caption="Average of Patient Waittime" numFmtId="0" hierarchy="26" level="32767"/>
    <cacheField name="[Calender_Date].[Date (Month)].[Date (Month)]" caption="Date (Month)" numFmtId="0" hierarchy="1" level="1">
      <sharedItems containsSemiMixedTypes="0" containsNonDate="0" containsString="0"/>
    </cacheField>
    <cacheField name="[Calender_Date].[Date (Year)].[Date (Year)]" caption="Date (Year)" numFmtId="0" hierarchy="3" level="1">
      <sharedItems containsSemiMixedTypes="0" containsNonDate="0" containsString="0"/>
    </cacheField>
  </cacheFields>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1"/>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2"/>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15393519" createdVersion="5" refreshedVersion="8" minRefreshableVersion="3" recordCount="0" supportSubquery="1" supportAdvancedDrill="1" xr:uid="{D63DB3E0-1C46-4454-9C06-2E650F6E78B0}">
  <cacheSource type="external" connectionId="3"/>
  <cacheFields count="3">
    <cacheField name="[Measures].[Average of Patient Satisfaction Score]" caption="Average of Patient Satisfaction Score" numFmtId="0" hierarchy="28" level="32767"/>
    <cacheField name="[Calender_Date].[Date (Month)].[Date (Month)]" caption="Date (Month)" numFmtId="0" hierarchy="1" level="1">
      <sharedItems containsSemiMixedTypes="0" containsNonDate="0" containsString="0"/>
    </cacheField>
    <cacheField name="[Calender_Date].[Date (Year)].[Date (Year)]" caption="Date (Year)" numFmtId="0" hierarchy="3" level="1">
      <sharedItems containsSemiMixedTypes="0" containsNonDate="0" containsString="0"/>
    </cacheField>
  </cacheFields>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1"/>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2"/>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16203704" createdVersion="5" refreshedVersion="8" minRefreshableVersion="3" recordCount="0" supportSubquery="1" supportAdvancedDrill="1" xr:uid="{E151CCCF-F4A1-4547-B09A-B8839C6CAB78}">
  <cacheSource type="external" connectionId="3"/>
  <cacheFields count="4">
    <cacheField name="[Calender_Date].[Date (Day)].[Date (Day)]" caption="Date (Day)" numFmtId="0" hierarchy="2" level="1">
      <sharedItems count="30">
        <s v="1-Aug"/>
        <s v="2-Aug"/>
        <s v="3-Aug"/>
        <s v="4-Aug"/>
        <s v="5-Aug"/>
        <s v="6-Aug"/>
        <s v="8-Aug"/>
        <s v="9-Aug"/>
        <s v="10-Aug"/>
        <s v="11-Aug"/>
        <s v="12-Aug"/>
        <s v="13-Aug"/>
        <s v="14-Aug"/>
        <s v="15-Aug"/>
        <s v="16-Aug"/>
        <s v="17-Aug"/>
        <s v="18-Aug"/>
        <s v="19-Aug"/>
        <s v="20-Aug"/>
        <s v="21-Aug"/>
        <s v="22-Aug"/>
        <s v="23-Aug"/>
        <s v="24-Aug"/>
        <s v="25-Aug"/>
        <s v="26-Aug"/>
        <s v="27-Aug"/>
        <s v="28-Aug"/>
        <s v="29-Aug"/>
        <s v="30-Aug"/>
        <s v="31-Aug"/>
      </sharedItems>
    </cacheField>
    <cacheField name="[Calender_Dat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Date].[Date (Year)].[Date (Year)]" caption="Date (Year)" numFmtId="0" hierarchy="3" level="1">
      <sharedItems containsSemiMixedTypes="0" containsNonDate="0" containsString="0"/>
    </cacheField>
  </cacheFields>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1"/>
      </fieldsUsage>
    </cacheHierarchy>
    <cacheHierarchy uniqueName="[Calender_Date].[Date (Day)]" caption="Date (Day)" attribute="1" defaultMemberUniqueName="[Calender_Date].[Date (Day)].[All]" allUniqueName="[Calender_Date].[Date (Day)].[All]" dimensionUniqueName="[Calender_Date]" displayFolder="" count="2" memberValueDatatype="130" unbalanced="0">
      <fieldsUsage count="2">
        <fieldUsage x="-1"/>
        <fieldUsage x="0"/>
      </fieldsUsage>
    </cacheHierarchy>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16666666" createdVersion="5" refreshedVersion="8" minRefreshableVersion="3" recordCount="0" supportSubquery="1" supportAdvancedDrill="1" xr:uid="{A7CD5AC1-3ED1-4224-817D-F65331AFF7FA}">
  <cacheSource type="external" connectionId="3"/>
  <cacheFields count="4">
    <cacheField name="[Calender_Date].[Date (Day)].[Date (Day)]" caption="Date (Day)" numFmtId="0" hierarchy="2" level="1">
      <sharedItems count="30">
        <s v="1-Aug"/>
        <s v="2-Aug"/>
        <s v="3-Aug"/>
        <s v="4-Aug"/>
        <s v="5-Aug"/>
        <s v="6-Aug"/>
        <s v="8-Aug"/>
        <s v="9-Aug"/>
        <s v="10-Aug"/>
        <s v="11-Aug"/>
        <s v="12-Aug"/>
        <s v="13-Aug"/>
        <s v="14-Aug"/>
        <s v="15-Aug"/>
        <s v="16-Aug"/>
        <s v="17-Aug"/>
        <s v="18-Aug"/>
        <s v="19-Aug"/>
        <s v="20-Aug"/>
        <s v="21-Aug"/>
        <s v="22-Aug"/>
        <s v="23-Aug"/>
        <s v="24-Aug"/>
        <s v="25-Aug"/>
        <s v="26-Aug"/>
        <s v="27-Aug"/>
        <s v="28-Aug"/>
        <s v="29-Aug"/>
        <s v="30-Aug"/>
        <s v="31-Aug"/>
      </sharedItems>
    </cacheField>
    <cacheField name="[Calender_Dat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Date].[Date (Year)].[Date (Year)]" caption="Date (Year)" numFmtId="0" hierarchy="3" level="1">
      <sharedItems containsSemiMixedTypes="0" containsNonDate="0" containsString="0"/>
    </cacheField>
  </cacheFields>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1"/>
      </fieldsUsage>
    </cacheHierarchy>
    <cacheHierarchy uniqueName="[Calender_Date].[Date (Day)]" caption="Date (Day)" attribute="1" defaultMemberUniqueName="[Calender_Date].[Date (Day)].[All]" allUniqueName="[Calender_Date].[Date (Day)].[All]" dimensionUniqueName="[Calender_Date]" displayFolder="" count="2" memberValueDatatype="130" unbalanced="0">
      <fieldsUsage count="2">
        <fieldUsage x="-1"/>
        <fieldUsage x="0"/>
      </fieldsUsage>
    </cacheHierarchy>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17245374" createdVersion="5" refreshedVersion="8" minRefreshableVersion="3" recordCount="0" supportSubquery="1" supportAdvancedDrill="1" xr:uid="{8D83718D-A952-4BA5-B926-30A23CD42AD3}">
  <cacheSource type="external" connectionId="3"/>
  <cacheFields count="5">
    <cacheField name="[Calender_Dat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Dat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17939813" createdVersion="5" refreshedVersion="8" minRefreshableVersion="3" recordCount="0" supportSubquery="1" supportAdvancedDrill="1" xr:uid="{CFB17D3E-D5C0-4A41-BAD9-EA0E00F8A8AB}">
  <cacheSource type="external" connectionId="3"/>
  <cacheFields count="4">
    <cacheField name="[Calender_Dat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Date].[Date (Year)].[Date (Year)]" caption="Date (Year)" numFmtId="0" hierarchy="3" level="1">
      <sharedItems containsSemiMixedTypes="0" containsNonDate="0" containsString="0"/>
    </cacheField>
  </cacheFields>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18749998" createdVersion="5" refreshedVersion="8" minRefreshableVersion="3" recordCount="0" supportSubquery="1" supportAdvancedDrill="1" xr:uid="{82DECF7E-2A85-420A-8A16-4A777852A600}">
  <cacheSource type="external" connectionId="3"/>
  <cacheFields count="4">
    <cacheField name="[Calender_Dat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Date].[Date (Year)].[Date (Year)]" caption="Date (Year)" numFmtId="0" hierarchy="3" level="1">
      <sharedItems containsSemiMixedTypes="0" containsNonDate="0" containsString="0"/>
    </cacheField>
  </cacheFields>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19444444" createdVersion="5" refreshedVersion="8" minRefreshableVersion="3" recordCount="0" supportSubquery="1" supportAdvancedDrill="1" xr:uid="{5D6EB8AA-CFF4-4D5C-A472-00DA9938831E}">
  <cacheSource type="external" connectionId="3"/>
  <cacheFields count="4">
    <cacheField name="[Calender_Dat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Date].[Date (Year)].[Date (Year)]" caption="Date (Year)" numFmtId="0" hierarchy="3" level="1">
      <sharedItems containsSemiMixedTypes="0" containsNonDate="0" containsString="0"/>
    </cacheField>
  </cacheFields>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20370368" createdVersion="5" refreshedVersion="8" minRefreshableVersion="3" recordCount="0" supportSubquery="1" supportAdvancedDrill="1" xr:uid="{CDC67733-F866-4B6D-8DF3-02E8DF380A4E}">
  <cacheSource type="external" connectionId="3"/>
  <cacheFields count="4">
    <cacheField name="[Calender_Dat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Date].[Date (Year)].[Date (Year)]" caption="Date (Year)" numFmtId="0" hierarchy="3" level="1">
      <sharedItems containsSemiMixedTypes="0" containsNonDate="0" containsString="0"/>
    </cacheField>
  </cacheFields>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6.494520949076" createdVersion="5" refreshedVersion="8" minRefreshableVersion="3" recordCount="0" supportSubquery="1" supportAdvancedDrill="1" xr:uid="{590A94FA-127A-46E4-8D57-0063707A812C}">
  <cacheSource type="external" connectionId="3"/>
  <cacheFields count="4">
    <cacheField name="[Calender_Date].[Date (Month)].[Date (Month)]" caption="Date (Month)" numFmtId="0" hierarchy="1" level="1">
      <sharedItems count="1">
        <s v="Feb"/>
      </sharedItems>
    </cacheField>
    <cacheField name="[Calender_Dat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er_Date].[Date (Quarter)].[Date (Quarter)]" caption="Date (Quarter)" numFmtId="0" hierarchy="4" level="1">
      <sharedItems count="1">
        <s v="Qtr1"/>
      </sharedItems>
    </cacheField>
    <cacheField name="[Calender_Date].[Date (Year)].[Date (Year)]" caption="Date (Year)" numFmtId="0" hierarchy="3" level="1">
      <sharedItems count="1">
        <s v="2024"/>
      </sharedItems>
    </cacheField>
  </cacheFields>
  <cacheHierarchies count="34">
    <cacheHierarchy uniqueName="[Calender_Date].[Date]" caption="Date" attribute="1" time="1" defaultMemberUniqueName="[Calender_Date].[Date].[All]" allUniqueName="[Calender_Date].[Date].[All]" dimensionUniqueName="[Calender_Date]" displayFolder="" count="2" memberValueDatatype="7" unbalanced="0">
      <fieldsUsage count="2">
        <fieldUsage x="-1"/>
        <fieldUsage x="1"/>
      </fieldsUsage>
    </cacheHierarchy>
    <cacheHierarchy uniqueName="[Calender_Date].[Date (Month)]" caption="Date (Month)" attribute="1" defaultMemberUniqueName="[Calender_Date].[Date (Month)].[All]" allUniqueName="[Calender_Date].[Date (Month)].[All]" dimensionUniqueName="[Calender_Date]" displayFolder="" count="2" memberValueDatatype="130" unbalanced="0">
      <fieldsUsage count="2">
        <fieldUsage x="-1"/>
        <fieldUsage x="0"/>
      </fieldsUsage>
    </cacheHierarchy>
    <cacheHierarchy uniqueName="[Calender_Date].[Date (Day)]" caption="Date (Day)" attribute="1" defaultMemberUniqueName="[Calender_Date].[Date (Day)].[All]" allUniqueName="[Calender_Date].[Date (Day)].[All]" dimensionUniqueName="[Calender_Date]" displayFolder="" count="2"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fieldsUsage count="2">
        <fieldUsage x="-1"/>
        <fieldUsage x="3"/>
      </fieldsUsage>
    </cacheHierarchy>
    <cacheHierarchy uniqueName="[Calender_Date].[Date (Quarter)]" caption="Date (Quarter)" attribute="1" defaultMemberUniqueName="[Calender_Date].[Date (Quarter)].[All]" allUniqueName="[Calender_Date].[Date (Quarter)].[All]" dimensionUniqueName="[Calender_Dat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Date].[Date (Day Index)]" caption="Date (Day Index)" attribute="1" defaultMemberUniqueName="[Calender_Date].[Date (Day Index)].[All]" allUniqueName="[Calender_Date].[Date (Day Index)].[All]" dimensionUniqueName="[Calender_Date]" displayFolder="" count="2"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Date" uniqueName="[Calender_Date]" caption="Calender_Date"/>
    <dimension name="Hospital Emergency Room Data" uniqueName="[Hospital Emergency Room Data]" caption="Hospital Emergency Room Data"/>
    <dimension measure="1" name="Measures" uniqueName="[Measures]" caption="Measures"/>
  </dimensions>
  <measureGroups count="2">
    <measureGroup name="Calender_Date" caption="Calender_Dat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OK SINGH" refreshedDate="46264.115240393519" createdVersion="3" refreshedVersion="8" minRefreshableVersion="3" recordCount="0" supportSubquery="1" supportAdvancedDrill="1" xr:uid="{3E844454-A696-413F-A600-760FE8D77BE8}">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Date].[Date]" caption="Date" attribute="1" time="1" defaultMemberUniqueName="[Calender_Date].[Date].[All]" allUniqueName="[Calender_Date].[Date].[All]" dimensionUniqueName="[Calender_Date]" displayFolder="" count="0" memberValueDatatype="7" unbalanced="0"/>
    <cacheHierarchy uniqueName="[Calender_Date].[Date (Month)]" caption="Date (Month)" attribute="1" defaultMemberUniqueName="[Calender_Date].[Date (Month)].[All]" allUniqueName="[Calender_Date].[Date (Month)].[All]" dimensionUniqueName="[Calender_Date]" displayFolder="" count="2" memberValueDatatype="130" unbalanced="0"/>
    <cacheHierarchy uniqueName="[Calender_Date].[Date (Day)]" caption="Date (Day)" attribute="1" defaultMemberUniqueName="[Calender_Date].[Date (Day)].[All]" allUniqueName="[Calender_Date].[Date (Day)].[All]" dimensionUniqueName="[Calender_Date]" displayFolder="" count="0" memberValueDatatype="130" unbalanced="0"/>
    <cacheHierarchy uniqueName="[Calender_Date].[Date (Year)]" caption="Date (Year)" attribute="1" defaultMemberUniqueName="[Calender_Date].[Date (Year)].[All]" allUniqueName="[Calender_Date].[Date (Year)].[All]" dimensionUniqueName="[Calender_Date]" displayFolder="" count="2" memberValueDatatype="130" unbalanced="0"/>
    <cacheHierarchy uniqueName="[Calender_Date].[Date (Quarter)]" caption="Date (Quarter)" attribute="1" defaultMemberUniqueName="[Calender_Date].[Date (Quarter)].[All]" allUniqueName="[Calender_Date].[Date (Quarter)].[All]" dimensionUniqueName="[Calender_Dat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Date].[Date (Day Index)]" caption="Date (Day Index)" attribute="1" defaultMemberUniqueName="[Calender_Date].[Date (Day Index)].[All]" allUniqueName="[Calender_Date].[Date (Day Index)].[All]" dimensionUniqueName="[Calender_Date]" displayFolder="" count="0" memberValueDatatype="5" unbalanced="0" hidden="1"/>
    <cacheHierarchy uniqueName="[Calender_Date].[Date (Month Index)]" caption="Date (Month Index)" attribute="1" defaultMemberUniqueName="[Calender_Date].[Date (Month Index)].[All]" allUniqueName="[Calender_Date].[Date (Month Index)].[All]" dimensionUniqueName="[Calender_Dat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Date]" caption="__XL_Count Calender_Date" measure="1" displayFolder="" measureGroup="Calender_Dat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233629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B4D893-3B24-48F2-8A7F-2F4E67D57A8C}" name="PivotTable8" cacheId="528" applyNumberFormats="0" applyBorderFormats="0" applyFontFormats="0" applyPatternFormats="0" applyAlignmentFormats="0" applyWidthHeightFormats="1" dataCaption="Values" tag="8ecd052f-0357-49b4-ae45-aacac406886c" updatedVersion="8" minRefreshableVersion="3" subtotalHiddenItems="1" itemPrintTitles="1" createdVersion="5" indent="0" outline="1" outlineData="1" multipleFieldFilters="0" chartFormat="66">
  <location ref="A55: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9">
    <format dxfId="435">
      <pivotArea outline="0" collapsedLevelsAreSubtotals="1" fieldPosition="0"/>
    </format>
    <format dxfId="436">
      <pivotArea type="all" dataOnly="0" outline="0" fieldPosition="0"/>
    </format>
    <format dxfId="437">
      <pivotArea collapsedLevelsAreSubtotals="1" fieldPosition="0">
        <references count="1">
          <reference field="1" count="0"/>
        </references>
      </pivotArea>
    </format>
    <format dxfId="438">
      <pivotArea type="all" dataOnly="0" outline="0" fieldPosition="0"/>
    </format>
    <format dxfId="439">
      <pivotArea outline="0" collapsedLevelsAreSubtotals="1" fieldPosition="0"/>
    </format>
    <format dxfId="440">
      <pivotArea field="1" type="button" dataOnly="0" labelOnly="1" outline="0" axis="axisRow" fieldPosition="0"/>
    </format>
    <format dxfId="441">
      <pivotArea dataOnly="0" labelOnly="1" fieldPosition="0">
        <references count="1">
          <reference field="1" count="0"/>
        </references>
      </pivotArea>
    </format>
    <format dxfId="442">
      <pivotArea dataOnly="0" labelOnly="1" grandRow="1" outline="0" fieldPosition="0"/>
    </format>
    <format dxfId="443">
      <pivotArea dataOnly="0" labelOnly="1" outline="0" axis="axisValues" fieldPosition="0"/>
    </format>
  </formats>
  <chartFormats count="1">
    <chartFormat chart="6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Date].[Date (Month)].&amp;[Aug]"/>
      </members>
    </pivotHierarchy>
    <pivotHierarchy dragToData="1"/>
    <pivotHierarchy multipleItemSelectionAllowed="1" dragToData="1">
      <members count="1" level="1">
        <member name="[Cale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8C5941-016A-4497-8580-8BD2CC110D92}" name="PivotTable4" cacheId="507" applyNumberFormats="0" applyBorderFormats="0" applyFontFormats="0" applyPatternFormats="0" applyAlignmentFormats="0" applyWidthHeightFormats="1" dataCaption="Values" tag="7e77941c-068d-42c8-b15b-365e67912da0" updatedVersion="8" minRefreshableVersion="3" subtotalHiddenItems="1" itemPrintTitles="1" createdVersion="5" indent="0" outline="1" outlineData="1" multipleFieldFilters="0" chartFormat="19">
  <location ref="D8:E40"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6">
    <format dxfId="480">
      <pivotArea type="all" dataOnly="0" outline="0" fieldPosition="0"/>
    </format>
    <format dxfId="481">
      <pivotArea outline="0" collapsedLevelsAreSubtotals="1" fieldPosition="0"/>
    </format>
    <format dxfId="482">
      <pivotArea field="1" type="button" dataOnly="0" labelOnly="1" outline="0" axis="axisRow" fieldPosition="0"/>
    </format>
    <format dxfId="483">
      <pivotArea dataOnly="0" labelOnly="1" fieldPosition="0">
        <references count="1">
          <reference field="1" count="0"/>
        </references>
      </pivotArea>
    </format>
    <format dxfId="484">
      <pivotArea dataOnly="0" labelOnly="1" grandRow="1" outline="0" fieldPosition="0"/>
    </format>
    <format dxfId="485">
      <pivotArea dataOnly="0" labelOnly="1" outline="0" axis="axisValues" fieldPosition="0"/>
    </format>
  </formats>
  <chartFormats count="2">
    <chartFormat chart="7" format="8"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Date].[Date (Month)].&amp;[Aug]"/>
      </members>
    </pivotHierarchy>
    <pivotHierarchy dragToData="1"/>
    <pivotHierarchy multipleItemSelectionAllowed="1" dragToData="1">
      <members count="1" level="1">
        <member name="[Cale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9D42D0-3379-428B-A09F-824137A28ACE}" name="PivotTable9" cacheId="531" applyNumberFormats="0" applyBorderFormats="0" applyFontFormats="0" applyPatternFormats="0" applyAlignmentFormats="0" applyWidthHeightFormats="1" dataCaption="Values" tag="dcc5880b-2eb5-472a-82dd-562ebc37712f" updatedVersion="8" minRefreshableVersion="3" subtotalHiddenItems="1" itemPrintTitles="1" createdVersion="5" indent="0" outline="1" outlineData="1" multipleFieldFilters="0" chartFormat="71">
  <location ref="A69:B7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9">
    <format dxfId="426">
      <pivotArea outline="0" collapsedLevelsAreSubtotals="1" fieldPosition="0"/>
    </format>
    <format dxfId="427">
      <pivotArea type="all" dataOnly="0" outline="0" fieldPosition="0"/>
    </format>
    <format dxfId="428">
      <pivotArea collapsedLevelsAreSubtotals="1" fieldPosition="0">
        <references count="1">
          <reference field="1" count="0"/>
        </references>
      </pivotArea>
    </format>
    <format dxfId="429">
      <pivotArea type="all" dataOnly="0" outline="0" fieldPosition="0"/>
    </format>
    <format dxfId="430">
      <pivotArea outline="0" collapsedLevelsAreSubtotals="1" fieldPosition="0"/>
    </format>
    <format dxfId="431">
      <pivotArea field="1" type="button" dataOnly="0" labelOnly="1" outline="0" axis="axisRow" fieldPosition="0"/>
    </format>
    <format dxfId="432">
      <pivotArea dataOnly="0" labelOnly="1" fieldPosition="0">
        <references count="1">
          <reference field="1" count="0"/>
        </references>
      </pivotArea>
    </format>
    <format dxfId="433">
      <pivotArea dataOnly="0" labelOnly="1" grandRow="1" outline="0" fieldPosition="0"/>
    </format>
    <format dxfId="434">
      <pivotArea dataOnly="0" labelOnly="1" outline="0" axis="axisValues" fieldPosition="0"/>
    </format>
  </formats>
  <chartFormats count="3">
    <chartFormat chart="69" format="4" series="1">
      <pivotArea type="data" outline="0" fieldPosition="0">
        <references count="1">
          <reference field="4294967294" count="1" selected="0">
            <x v="0"/>
          </reference>
        </references>
      </pivotArea>
    </chartFormat>
    <chartFormat chart="69" format="5">
      <pivotArea type="data" outline="0" fieldPosition="0">
        <references count="2">
          <reference field="4294967294" count="1" selected="0">
            <x v="0"/>
          </reference>
          <reference field="1" count="1" selected="0">
            <x v="0"/>
          </reference>
        </references>
      </pivotArea>
    </chartFormat>
    <chartFormat chart="6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Date].[Date (Month)].&amp;[Aug]"/>
      </members>
    </pivotHierarchy>
    <pivotHierarchy dragToData="1"/>
    <pivotHierarchy multipleItemSelectionAllowed="1" dragToData="1">
      <members count="1" level="1">
        <member name="[Cale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DD791A-9D8C-4274-B2BC-14D972D6A01E}" name="PivotTable11" cacheId="537" applyNumberFormats="0" applyBorderFormats="0" applyFontFormats="0" applyPatternFormats="0" applyAlignmentFormats="0" applyWidthHeightFormats="1" dataCaption="Values" tag="8846fe4f-a6c1-43d9-9f29-9e5846076d4d" updatedVersion="8" minRefreshableVersion="3" subtotalHiddenItems="1" itemPrintTitles="1" createdVersion="5" indent="0" outline="1" outlineData="1" multipleFieldFilters="0" chartFormat="83">
  <location ref="A82:B9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9">
    <format dxfId="410">
      <pivotArea outline="0" collapsedLevelsAreSubtotals="1" fieldPosition="0"/>
    </format>
    <format dxfId="411">
      <pivotArea type="all" dataOnly="0" outline="0" fieldPosition="0"/>
    </format>
    <format dxfId="412">
      <pivotArea collapsedLevelsAreSubtotals="1" fieldPosition="0">
        <references count="1">
          <reference field="1" count="0"/>
        </references>
      </pivotArea>
    </format>
    <format dxfId="413">
      <pivotArea type="all" dataOnly="0" outline="0" fieldPosition="0"/>
    </format>
    <format dxfId="414">
      <pivotArea outline="0" collapsedLevelsAreSubtotals="1" fieldPosition="0"/>
    </format>
    <format dxfId="415">
      <pivotArea field="1" type="button" dataOnly="0" labelOnly="1" outline="0" axis="axisRow" fieldPosition="0"/>
    </format>
    <format dxfId="416">
      <pivotArea dataOnly="0" labelOnly="1" fieldPosition="0">
        <references count="1">
          <reference field="1" count="0"/>
        </references>
      </pivotArea>
    </format>
    <format dxfId="417">
      <pivotArea dataOnly="0" labelOnly="1" grandRow="1" outline="0" fieldPosition="0"/>
    </format>
    <format dxfId="418">
      <pivotArea dataOnly="0" labelOnly="1" outline="0" axis="axisValues" fieldPosition="0"/>
    </format>
  </formats>
  <chartFormats count="1">
    <chartFormat chart="8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Date].[Date (Month)].&amp;[Aug]"/>
      </members>
    </pivotHierarchy>
    <pivotHierarchy dragToData="1"/>
    <pivotHierarchy multipleItemSelectionAllowed="1" dragToData="1">
      <members count="1" level="1">
        <member name="[Cale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9C3259-7D87-4F0D-BAEC-967A28F4355C}" name="PivotTable10" cacheId="534" applyNumberFormats="0" applyBorderFormats="0" applyFontFormats="0" applyPatternFormats="0" applyAlignmentFormats="0" applyWidthHeightFormats="1" dataCaption="Values" tag="6ca9a3bc-7236-46e4-8a95-229baddeafaa" updatedVersion="8" minRefreshableVersion="3" subtotalHiddenItems="1" itemPrintTitles="1" createdVersion="5" indent="0" outline="1" outlineData="1" multipleFieldFilters="0" chartFormat="78">
  <location ref="A75:B7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7">
    <format dxfId="419">
      <pivotArea outline="0" collapsedLevelsAreSubtotals="1" fieldPosition="0"/>
    </format>
    <format dxfId="420">
      <pivotArea type="all" dataOnly="0" outline="0" fieldPosition="0"/>
    </format>
    <format dxfId="421">
      <pivotArea outline="0" collapsedLevelsAreSubtotals="1" fieldPosition="0"/>
    </format>
    <format dxfId="422">
      <pivotArea field="1" type="button" dataOnly="0" labelOnly="1" outline="0" axis="axisRow" fieldPosition="0"/>
    </format>
    <format dxfId="423">
      <pivotArea dataOnly="0" labelOnly="1" fieldPosition="0">
        <references count="1">
          <reference field="1" count="0"/>
        </references>
      </pivotArea>
    </format>
    <format dxfId="424">
      <pivotArea dataOnly="0" labelOnly="1" grandRow="1" outline="0" fieldPosition="0"/>
    </format>
    <format dxfId="425">
      <pivotArea dataOnly="0" labelOnly="1" outline="0" axis="axisValues" fieldPosition="0"/>
    </format>
  </formats>
  <chartFormats count="3">
    <chartFormat chart="74" format="4" series="1">
      <pivotArea type="data" outline="0" fieldPosition="0">
        <references count="1">
          <reference field="4294967294" count="1" selected="0">
            <x v="0"/>
          </reference>
        </references>
      </pivotArea>
    </chartFormat>
    <chartFormat chart="74" format="5">
      <pivotArea type="data" outline="0" fieldPosition="0">
        <references count="2">
          <reference field="4294967294" count="1" selected="0">
            <x v="0"/>
          </reference>
          <reference field="1" count="1" selected="0">
            <x v="0"/>
          </reference>
        </references>
      </pivotArea>
    </chartFormat>
    <chartFormat chart="7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Date].[Date (Month)].&amp;[Aug]"/>
      </members>
    </pivotHierarchy>
    <pivotHierarchy dragToData="1"/>
    <pivotHierarchy multipleItemSelectionAllowed="1" dragToData="1">
      <members count="1" level="1">
        <member name="[Cale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9C832D-B489-4F59-9EBD-446543572A00}" name="PivotTable1" cacheId="510" applyNumberFormats="0" applyBorderFormats="0" applyFontFormats="0" applyPatternFormats="0" applyAlignmentFormats="0" applyWidthHeightFormats="1" dataCaption="Values" tag="9b623360-a3f1-475b-a25a-d0e5b3f05f02" updatedVersion="8" minRefreshableVersion="3"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477">
      <pivotArea type="all" dataOnly="0" outline="0" fieldPosition="0"/>
    </format>
    <format dxfId="478">
      <pivotArea outline="0" collapsedLevelsAreSubtotals="1" fieldPosition="0"/>
    </format>
    <format dxfId="479">
      <pivotArea dataOnly="0" labelOnly="1" outline="0" axis="axisValues" fieldPosition="0"/>
    </format>
  </formats>
  <pivotHierarchies count="34">
    <pivotHierarchy dragToData="1"/>
    <pivotHierarchy multipleItemSelectionAllowed="1" dragToData="1">
      <members count="1" level="1">
        <member name="[Calender_Date].[Date (Month)].&amp;[Aug]"/>
      </members>
    </pivotHierarchy>
    <pivotHierarchy dragToData="1"/>
    <pivotHierarchy multipleItemSelectionAllowed="1" dragToData="1">
      <members count="1" level="1">
        <member name="[Cale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E50061-8933-41A8-B99C-3DB8844FE640}" name="PivotTable7" cacheId="525" applyNumberFormats="0" applyBorderFormats="0" applyFontFormats="0" applyPatternFormats="0" applyAlignmentFormats="0" applyWidthHeightFormats="1" dataCaption="Values" tag="1186dd3c-dec1-4f59-8335-765e401d1704" updatedVersion="8" minRefreshableVersion="3" subtotalHiddenItems="1" itemPrintTitles="1" createdVersion="5" indent="0" outline="1" outlineData="1" multipleFieldFilters="0" chartFormat="68">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11">
    <format dxfId="444">
      <pivotArea outline="0" collapsedLevelsAreSubtotals="1" fieldPosition="0"/>
    </format>
    <format dxfId="445">
      <pivotArea collapsedLevelsAreSubtotals="1" fieldPosition="0">
        <references count="1">
          <reference field="2" count="0"/>
        </references>
      </pivotArea>
    </format>
    <format dxfId="446">
      <pivotArea outline="0" fieldPosition="0">
        <references count="1">
          <reference field="4294967294" count="1">
            <x v="1"/>
          </reference>
        </references>
      </pivotArea>
    </format>
    <format dxfId="447">
      <pivotArea collapsedLevelsAreSubtotals="1" fieldPosition="0">
        <references count="2">
          <reference field="4294967294" count="1" selected="0">
            <x v="1"/>
          </reference>
          <reference field="2" count="1">
            <x v="1"/>
          </reference>
        </references>
      </pivotArea>
    </format>
    <format dxfId="448">
      <pivotArea collapsedLevelsAreSubtotals="1" fieldPosition="0">
        <references count="2">
          <reference field="4294967294" count="1" selected="0">
            <x v="1"/>
          </reference>
          <reference field="2" count="1">
            <x v="0"/>
          </reference>
        </references>
      </pivotArea>
    </format>
    <format dxfId="449">
      <pivotArea type="all" dataOnly="0" outline="0" fieldPosition="0"/>
    </format>
    <format dxfId="450">
      <pivotArea outline="0" collapsedLevelsAreSubtotals="1" fieldPosition="0"/>
    </format>
    <format dxfId="451">
      <pivotArea field="2" type="button" dataOnly="0" labelOnly="1" outline="0" axis="axisRow" fieldPosition="0"/>
    </format>
    <format dxfId="452">
      <pivotArea dataOnly="0" labelOnly="1" fieldPosition="0">
        <references count="1">
          <reference field="2" count="0"/>
        </references>
      </pivotArea>
    </format>
    <format dxfId="453">
      <pivotArea dataOnly="0" labelOnly="1" grandRow="1" outline="0" fieldPosition="0"/>
    </format>
    <format dxfId="454">
      <pivotArea dataOnly="0" labelOnly="1" outline="0" fieldPosition="0">
        <references count="1">
          <reference field="4294967294" count="2">
            <x v="0"/>
            <x v="1"/>
          </reference>
        </references>
      </pivotArea>
    </format>
  </formats>
  <chartFormats count="4">
    <chartFormat chart="55" format="24" series="1">
      <pivotArea type="data" outline="0" fieldPosition="0">
        <references count="1">
          <reference field="4294967294" count="1" selected="0">
            <x v="0"/>
          </reference>
        </references>
      </pivotArea>
    </chartFormat>
    <chartFormat chart="55" format="25">
      <pivotArea type="data" outline="0" fieldPosition="0">
        <references count="2">
          <reference field="4294967294" count="1" selected="0">
            <x v="0"/>
          </reference>
          <reference field="2" count="1" selected="0">
            <x v="0"/>
          </reference>
        </references>
      </pivotArea>
    </chartFormat>
    <chartFormat chart="55" format="26" series="1">
      <pivotArea type="data" outline="0" fieldPosition="0">
        <references count="1">
          <reference field="4294967294" count="1" selected="0">
            <x v="1"/>
          </reference>
        </references>
      </pivotArea>
    </chartFormat>
    <chartFormat chart="55" format="27">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Date].[Date (Month)].&amp;[Aug]"/>
      </members>
    </pivotHierarchy>
    <pivotHierarchy dragToData="1"/>
    <pivotHierarchy multipleItemSelectionAllowed="1" dragToData="1">
      <members count="1" level="1">
        <member name="[Cale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DEE450-04ED-4D3A-99C0-8C85F7BB9A0F}" name="PivotTable12" cacheId="540" applyNumberFormats="0" applyBorderFormats="0" applyFontFormats="0" applyPatternFormats="0" applyAlignmentFormats="0" applyWidthHeightFormats="1" dataCaption="Values" tag="add17f23-247c-43d7-ab9f-397b432053ad" updatedVersion="8" minRefreshableVersion="3" subtotalHiddenItems="1" itemPrintTitles="1" createdVersion="5" indent="0" outline="1" outlineData="1" multipleFieldFilters="0" chartFormat="83">
  <location ref="D85:D8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5">
    <format dxfId="405">
      <pivotArea outline="0" collapsedLevelsAreSubtotals="1" fieldPosition="0"/>
    </format>
    <format dxfId="406">
      <pivotArea type="all" dataOnly="0" outline="0" fieldPosition="0"/>
    </format>
    <format dxfId="407">
      <pivotArea field="3" type="button" dataOnly="0" labelOnly="1" outline="0" axis="axisRow" fieldPosition="0"/>
    </format>
    <format dxfId="408">
      <pivotArea dataOnly="0" labelOnly="1" fieldPosition="0">
        <references count="1">
          <reference field="3" count="0"/>
        </references>
      </pivotArea>
    </format>
    <format dxfId="409">
      <pivotArea dataOnly="0" labelOnly="1" grandRow="1" outline="0" fieldPosition="0"/>
    </format>
  </formats>
  <pivotHierarchies count="34">
    <pivotHierarchy dragToData="1"/>
    <pivotHierarchy multipleItemSelectionAllowed="1" dragToData="1">
      <members count="1" level="1">
        <member name="[Calender_Dat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EB9265-3322-4975-9122-1C5E8820ADFA}" name="PivotTable3" cacheId="516" applyNumberFormats="0" applyBorderFormats="0" applyFontFormats="0" applyPatternFormats="0" applyAlignmentFormats="0" applyWidthHeightFormats="1" dataCaption="Values" tag="129012a7-df86-43a0-9af5-0e67bf581f62" updatedVersion="8" minRefreshableVersion="3" subtotalHiddenItems="1" itemPrintTitles="1" createdVersion="5" indent="0" outline="1" outlineData="1" multipleFieldFilters="0">
  <location ref="A17:A1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4">
    <format dxfId="469">
      <pivotArea outline="0" collapsedLevelsAreSubtotals="1" fieldPosition="0"/>
    </format>
    <format dxfId="470">
      <pivotArea type="all" dataOnly="0" outline="0" fieldPosition="0"/>
    </format>
    <format dxfId="471">
      <pivotArea outline="0" collapsedLevelsAreSubtotals="1" fieldPosition="0"/>
    </format>
    <format dxfId="472">
      <pivotArea dataOnly="0" labelOnly="1" outline="0" axis="axisValues" fieldPosition="0"/>
    </format>
  </formats>
  <pivotHierarchies count="34">
    <pivotHierarchy dragToData="1"/>
    <pivotHierarchy multipleItemSelectionAllowed="1" dragToData="1">
      <members count="1" level="1">
        <member name="[Calender_Date].[Date (Month)].&amp;[Aug]"/>
      </members>
    </pivotHierarchy>
    <pivotHierarchy dragToData="1"/>
    <pivotHierarchy multipleItemSelectionAllowed="1" dragToData="1">
      <members count="1" level="1">
        <member name="[Cale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9BA44D-C35B-43A5-91F1-CE80BAF42524}" name="PivotTable2" cacheId="513" applyNumberFormats="0" applyBorderFormats="0" applyFontFormats="0" applyPatternFormats="0" applyAlignmentFormats="0" applyWidthHeightFormats="1" dataCaption="Values" tag="1e2df857-3125-49b9-bc05-2c3ef5308002"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473">
      <pivotArea outline="0" collapsedLevelsAreSubtotals="1" fieldPosition="0"/>
    </format>
    <format dxfId="474">
      <pivotArea type="all" dataOnly="0" outline="0" fieldPosition="0"/>
    </format>
    <format dxfId="475">
      <pivotArea outline="0" collapsedLevelsAreSubtotals="1" fieldPosition="0"/>
    </format>
    <format dxfId="476">
      <pivotArea dataOnly="0" labelOnly="1" outline="0" axis="axisValues" fieldPosition="0"/>
    </format>
  </formats>
  <pivotHierarchies count="34">
    <pivotHierarchy dragToData="1"/>
    <pivotHierarchy multipleItemSelectionAllowed="1" dragToData="1">
      <members count="1" level="1">
        <member name="[Calender_Date].[Date (Month)].&amp;[Aug]"/>
      </members>
    </pivotHierarchy>
    <pivotHierarchy dragToData="1"/>
    <pivotHierarchy multipleItemSelectionAllowed="1" dragToData="1">
      <members count="1" level="1">
        <member name="[Cale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410D47-B807-4389-90C6-8D46B6929AB4}" name="PivotTable6" cacheId="522" applyNumberFormats="0" applyBorderFormats="0" applyFontFormats="0" applyPatternFormats="0" applyAlignmentFormats="0" applyWidthHeightFormats="1" dataCaption="Values" tag="0e193481-11ac-4e16-b34c-092eb1d5ed3a" updatedVersion="8" minRefreshableVersion="3" subtotalHiddenItems="1" itemPrintTitles="1" createdVersion="5" indent="0" outline="1" outlineData="1" multipleFieldFilters="0" chartFormat="36">
  <location ref="L8:M39"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7">
    <format dxfId="455">
      <pivotArea collapsedLevelsAreSubtotals="1" fieldPosition="0">
        <references count="1">
          <reference field="0" count="0"/>
        </references>
      </pivotArea>
    </format>
    <format dxfId="456">
      <pivotArea type="all" dataOnly="0" outline="0" fieldPosition="0"/>
    </format>
    <format dxfId="457">
      <pivotArea outline="0" collapsedLevelsAreSubtotals="1" fieldPosition="0"/>
    </format>
    <format dxfId="458">
      <pivotArea field="0" type="button" dataOnly="0" labelOnly="1" outline="0" axis="axisRow" fieldPosition="0"/>
    </format>
    <format dxfId="459">
      <pivotArea dataOnly="0" labelOnly="1" fieldPosition="0">
        <references count="1">
          <reference field="0" count="0"/>
        </references>
      </pivotArea>
    </format>
    <format dxfId="460">
      <pivotArea dataOnly="0" labelOnly="1" grandRow="1" outline="0" fieldPosition="0"/>
    </format>
    <format dxfId="461">
      <pivotArea dataOnly="0" labelOnly="1" outline="0" axis="axisValues" fieldPosition="0"/>
    </format>
  </formats>
  <chartFormats count="2">
    <chartFormat chart="33" format="2"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Date].[Date (Month)].&amp;[Aug]"/>
      </members>
    </pivotHierarchy>
    <pivotHierarchy dragToData="1"/>
    <pivotHierarchy multipleItemSelectionAllowed="1" dragToData="1">
      <members count="1" level="1">
        <member name="[Cale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507E807-93AE-443E-B1D2-5255279F547D}" name="PivotTable5" cacheId="519" applyNumberFormats="0" applyBorderFormats="0" applyFontFormats="0" applyPatternFormats="0" applyAlignmentFormats="0" applyWidthHeightFormats="1" dataCaption="Values" tag="b79be556-fd71-440f-b657-6ce9b7af01fc" updatedVersion="8" minRefreshableVersion="3" subtotalHiddenItems="1" itemPrintTitles="1" createdVersion="5" indent="0" outline="1" outlineData="1" multipleFieldFilters="0" chartFormat="30">
  <location ref="H8:I39"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1"/>
  </dataFields>
  <formats count="7">
    <format dxfId="462">
      <pivotArea collapsedLevelsAreSubtotals="1" fieldPosition="0">
        <references count="1">
          <reference field="0" count="0"/>
        </references>
      </pivotArea>
    </format>
    <format dxfId="463">
      <pivotArea type="all" dataOnly="0" outline="0" fieldPosition="0"/>
    </format>
    <format dxfId="464">
      <pivotArea outline="0" collapsedLevelsAreSubtotals="1" fieldPosition="0"/>
    </format>
    <format dxfId="465">
      <pivotArea field="0" type="button" dataOnly="0" labelOnly="1" outline="0" axis="axisRow" fieldPosition="0"/>
    </format>
    <format dxfId="466">
      <pivotArea dataOnly="0" labelOnly="1" fieldPosition="0">
        <references count="1">
          <reference field="0" count="0"/>
        </references>
      </pivotArea>
    </format>
    <format dxfId="467">
      <pivotArea dataOnly="0" labelOnly="1" grandRow="1" outline="0" fieldPosition="0"/>
    </format>
    <format dxfId="468">
      <pivotArea dataOnly="0" labelOnly="1" outline="0" axis="axisValues" fieldPosition="0"/>
    </format>
  </formats>
  <chartFormats count="2">
    <chartFormat chart="25" format="6"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Date].[Date (Month)].&amp;[Aug]"/>
      </members>
    </pivotHierarchy>
    <pivotHierarchy dragToData="1"/>
    <pivotHierarchy multipleItemSelectionAllowed="1" dragToData="1">
      <members count="1" level="1">
        <member name="[Calender_Dat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13F3836-9047-487E-8E53-97757367E0B8}" sourceName="[Calender_Dat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223362973">
      <levels count="2">
        <level uniqueName="[Calender_Date].[Date (Month)].[(All)]" sourceCaption="(All)" count="0"/>
        <level uniqueName="[Calender_Date].[Date (Month)].[Date (Month)]" sourceCaption="Date (Month)" count="12">
          <ranges>
            <range startItem="0">
              <i n="[Calender_Date].[Date (Month)].&amp;[Jan]" c="Jan"/>
              <i n="[Calender_Date].[Date (Month)].&amp;[Feb]" c="Feb"/>
              <i n="[Calender_Date].[Date (Month)].&amp;[Mar]" c="Mar"/>
              <i n="[Calender_Date].[Date (Month)].&amp;[Apr]" c="Apr"/>
              <i n="[Calender_Date].[Date (Month)].&amp;[May]" c="May"/>
              <i n="[Calender_Date].[Date (Month)].&amp;[Jun]" c="Jun"/>
              <i n="[Calender_Date].[Date (Month)].&amp;[Jul]" c="Jul"/>
              <i n="[Calender_Date].[Date (Month)].&amp;[Aug]" c="Aug"/>
              <i n="[Calender_Date].[Date (Month)].&amp;[Sep]" c="Sep"/>
              <i n="[Calender_Date].[Date (Month)].&amp;[Oct]" c="Oct"/>
              <i n="[Calender_Date].[Date (Month)].&amp;[Nov]" c="Nov"/>
              <i n="[Calender_Date].[Date (Month)].&amp;[Dec]" c="Dec"/>
            </range>
          </ranges>
        </level>
      </levels>
      <selections count="1">
        <selection n="[Calender_Dat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DC09B9D-8694-4974-B18E-493BC781A5D7}" sourceName="[Calender_Dat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23362973">
      <levels count="2">
        <level uniqueName="[Calender_Date].[Date (Year)].[(All)]" sourceCaption="(All)" count="0"/>
        <level uniqueName="[Calender_Date].[Date (Year)].[Date (Year)]" sourceCaption="Date (Year)" count="2">
          <ranges>
            <range startItem="0">
              <i n="[Calender_Date].[Date (Year)].&amp;[2023]" c="2023"/>
              <i n="[Calender_Date].[Date (Year)].&amp;[2024]" c="2024"/>
            </range>
          </ranges>
        </level>
      </levels>
      <selections count="1">
        <selection n="[Calender_Dat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102D841-A569-4605-B3D1-C7CD002395EF}" cache="Slicer_Date__Month" caption="Date (Month)" showCaption="0" level="1" style="Newww" rowHeight="194400"/>
  <slicer name="Date (Year)" xr10:uid="{63D4F23E-09DC-4001-B8B1-68B44A3D7E21}" cache="Slicer_Date__Year" caption="Date (Year)" columnCount="2" showCaption="0" level="1" style="Newww"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8EEA7-2CB5-4E11-A1BC-AA7EF41CE7CD}">
  <dimension ref="A1:R91"/>
  <sheetViews>
    <sheetView showGridLines="0" zoomScale="102" workbookViewId="0">
      <selection activeCell="D55" sqref="D55"/>
    </sheetView>
  </sheetViews>
  <sheetFormatPr defaultRowHeight="14.4" x14ac:dyDescent="0.3"/>
  <cols>
    <col min="1" max="1" width="18.33203125" style="1" customWidth="1"/>
    <col min="2" max="2" width="12.77734375" style="1" customWidth="1"/>
    <col min="3" max="3" width="11.109375" style="1" customWidth="1"/>
    <col min="4" max="4" width="27.6640625" style="1" customWidth="1"/>
    <col min="5" max="5" width="24.109375" style="1" bestFit="1" customWidth="1"/>
    <col min="6" max="7" width="8.88671875" style="1"/>
    <col min="8" max="8" width="12.5546875" style="1" bestFit="1" customWidth="1"/>
    <col min="9" max="9" width="24.109375" style="1" bestFit="1" customWidth="1"/>
    <col min="10" max="11" width="8.88671875" style="1"/>
    <col min="12" max="12" width="21.77734375" style="1" bestFit="1" customWidth="1"/>
    <col min="13" max="13" width="25" style="1" bestFit="1" customWidth="1"/>
    <col min="14" max="14" width="15.44140625" style="1" bestFit="1" customWidth="1"/>
    <col min="15" max="15" width="12.6640625" style="1" bestFit="1" customWidth="1"/>
    <col min="16" max="16" width="15.44140625" style="1" bestFit="1" customWidth="1"/>
    <col min="17" max="17" width="13.109375" style="1" bestFit="1" customWidth="1"/>
    <col min="18" max="16384" width="8.88671875" style="1"/>
  </cols>
  <sheetData>
    <row r="1" spans="1:13" x14ac:dyDescent="0.3">
      <c r="A1" s="1" t="s">
        <v>0</v>
      </c>
    </row>
    <row r="5" spans="1:13" x14ac:dyDescent="0.3">
      <c r="A5" s="1" t="s">
        <v>2</v>
      </c>
    </row>
    <row r="6" spans="1:13" x14ac:dyDescent="0.3">
      <c r="A6" s="1" t="s">
        <v>1</v>
      </c>
    </row>
    <row r="7" spans="1:13" x14ac:dyDescent="0.3">
      <c r="A7" s="10">
        <v>530</v>
      </c>
      <c r="D7" s="1" t="s">
        <v>8</v>
      </c>
      <c r="H7" s="1" t="s">
        <v>9</v>
      </c>
      <c r="L7" s="1" t="s">
        <v>10</v>
      </c>
    </row>
    <row r="8" spans="1:13" x14ac:dyDescent="0.3">
      <c r="D8" s="1" t="s">
        <v>5</v>
      </c>
      <c r="E8" s="1" t="s">
        <v>1</v>
      </c>
      <c r="H8" s="1" t="s">
        <v>5</v>
      </c>
      <c r="I8" s="1" t="s">
        <v>4</v>
      </c>
      <c r="L8" s="1" t="s">
        <v>5</v>
      </c>
      <c r="M8" s="1" t="s">
        <v>4</v>
      </c>
    </row>
    <row r="9" spans="1:13" x14ac:dyDescent="0.3">
      <c r="D9" s="3" t="s">
        <v>47</v>
      </c>
      <c r="E9" s="10">
        <v>28</v>
      </c>
      <c r="H9" s="3" t="s">
        <v>47</v>
      </c>
      <c r="I9" s="4">
        <v>4.5</v>
      </c>
      <c r="L9" s="3" t="s">
        <v>47</v>
      </c>
      <c r="M9" s="4">
        <v>4.5</v>
      </c>
    </row>
    <row r="10" spans="1:13" x14ac:dyDescent="0.3">
      <c r="D10" s="3" t="s">
        <v>48</v>
      </c>
      <c r="E10" s="10">
        <v>19</v>
      </c>
      <c r="H10" s="3" t="s">
        <v>48</v>
      </c>
      <c r="I10" s="4">
        <v>4.666666666666667</v>
      </c>
      <c r="L10" s="3" t="s">
        <v>48</v>
      </c>
      <c r="M10" s="4">
        <v>4.666666666666667</v>
      </c>
    </row>
    <row r="11" spans="1:13" x14ac:dyDescent="0.3">
      <c r="D11" s="3" t="s">
        <v>49</v>
      </c>
      <c r="E11" s="10">
        <v>14</v>
      </c>
      <c r="H11" s="3" t="s">
        <v>49</v>
      </c>
      <c r="I11" s="4">
        <v>7.4</v>
      </c>
      <c r="L11" s="3" t="s">
        <v>49</v>
      </c>
      <c r="M11" s="4">
        <v>7.4</v>
      </c>
    </row>
    <row r="12" spans="1:13" x14ac:dyDescent="0.3">
      <c r="D12" s="3" t="s">
        <v>50</v>
      </c>
      <c r="E12" s="10">
        <v>17</v>
      </c>
      <c r="H12" s="3" t="s">
        <v>50</v>
      </c>
      <c r="I12" s="4">
        <v>4.5</v>
      </c>
      <c r="L12" s="3" t="s">
        <v>50</v>
      </c>
      <c r="M12" s="4">
        <v>4.5</v>
      </c>
    </row>
    <row r="13" spans="1:13" x14ac:dyDescent="0.3">
      <c r="A13" s="1" t="s">
        <v>3</v>
      </c>
      <c r="D13" s="3" t="s">
        <v>51</v>
      </c>
      <c r="E13" s="10">
        <v>19</v>
      </c>
      <c r="H13" s="3" t="s">
        <v>51</v>
      </c>
      <c r="I13" s="4">
        <v>4.8</v>
      </c>
      <c r="L13" s="3" t="s">
        <v>51</v>
      </c>
      <c r="M13" s="4">
        <v>4.8</v>
      </c>
    </row>
    <row r="14" spans="1:13" x14ac:dyDescent="0.3">
      <c r="A14" s="4">
        <v>35.113207547169814</v>
      </c>
      <c r="D14" s="3" t="s">
        <v>52</v>
      </c>
      <c r="E14" s="10">
        <v>12</v>
      </c>
      <c r="H14" s="3" t="s">
        <v>52</v>
      </c>
      <c r="I14" s="4">
        <v>4.75</v>
      </c>
      <c r="L14" s="3" t="s">
        <v>52</v>
      </c>
      <c r="M14" s="4">
        <v>4.75</v>
      </c>
    </row>
    <row r="15" spans="1:13" x14ac:dyDescent="0.3">
      <c r="D15" s="3" t="s">
        <v>53</v>
      </c>
      <c r="E15" s="10">
        <v>10</v>
      </c>
      <c r="H15" s="3" t="s">
        <v>54</v>
      </c>
      <c r="I15" s="4">
        <v>2.25</v>
      </c>
      <c r="L15" s="3" t="s">
        <v>54</v>
      </c>
      <c r="M15" s="4">
        <v>2.25</v>
      </c>
    </row>
    <row r="16" spans="1:13" x14ac:dyDescent="0.3">
      <c r="D16" s="3" t="s">
        <v>54</v>
      </c>
      <c r="E16" s="10">
        <v>20</v>
      </c>
      <c r="H16" s="3" t="s">
        <v>55</v>
      </c>
      <c r="I16" s="4">
        <v>4</v>
      </c>
      <c r="L16" s="3" t="s">
        <v>55</v>
      </c>
      <c r="M16" s="4">
        <v>4</v>
      </c>
    </row>
    <row r="17" spans="1:13" x14ac:dyDescent="0.3">
      <c r="A17" s="1" t="s">
        <v>4</v>
      </c>
      <c r="D17" s="3" t="s">
        <v>55</v>
      </c>
      <c r="E17" s="10">
        <v>12</v>
      </c>
      <c r="H17" s="3" t="s">
        <v>56</v>
      </c>
      <c r="I17" s="4">
        <v>6.666666666666667</v>
      </c>
      <c r="L17" s="3" t="s">
        <v>56</v>
      </c>
      <c r="M17" s="4">
        <v>6.666666666666667</v>
      </c>
    </row>
    <row r="18" spans="1:13" x14ac:dyDescent="0.3">
      <c r="A18" s="4">
        <v>5.1769911504424782</v>
      </c>
      <c r="D18" s="3" t="s">
        <v>56</v>
      </c>
      <c r="E18" s="10">
        <v>24</v>
      </c>
      <c r="H18" s="3" t="s">
        <v>57</v>
      </c>
      <c r="I18" s="4">
        <v>2.6666666666666665</v>
      </c>
      <c r="L18" s="3" t="s">
        <v>57</v>
      </c>
      <c r="M18" s="4">
        <v>2.6666666666666665</v>
      </c>
    </row>
    <row r="19" spans="1:13" x14ac:dyDescent="0.3">
      <c r="D19" s="3" t="s">
        <v>57</v>
      </c>
      <c r="E19" s="10">
        <v>16</v>
      </c>
      <c r="H19" s="3" t="s">
        <v>58</v>
      </c>
      <c r="I19" s="4">
        <v>3.6666666666666665</v>
      </c>
      <c r="L19" s="3" t="s">
        <v>58</v>
      </c>
      <c r="M19" s="4">
        <v>3.6666666666666665</v>
      </c>
    </row>
    <row r="20" spans="1:13" x14ac:dyDescent="0.3">
      <c r="D20" s="3" t="s">
        <v>58</v>
      </c>
      <c r="E20" s="10">
        <v>16</v>
      </c>
      <c r="H20" s="3" t="s">
        <v>59</v>
      </c>
      <c r="I20" s="4">
        <v>4</v>
      </c>
      <c r="L20" s="3" t="s">
        <v>59</v>
      </c>
      <c r="M20" s="4">
        <v>4</v>
      </c>
    </row>
    <row r="21" spans="1:13" x14ac:dyDescent="0.3">
      <c r="D21" s="3" t="s">
        <v>59</v>
      </c>
      <c r="E21" s="10">
        <v>14</v>
      </c>
      <c r="H21" s="3" t="s">
        <v>60</v>
      </c>
      <c r="I21" s="4">
        <v>7.5</v>
      </c>
      <c r="L21" s="3" t="s">
        <v>60</v>
      </c>
      <c r="M21" s="4">
        <v>7.5</v>
      </c>
    </row>
    <row r="22" spans="1:13" x14ac:dyDescent="0.3">
      <c r="D22" s="3" t="s">
        <v>60</v>
      </c>
      <c r="E22" s="10">
        <v>12</v>
      </c>
      <c r="H22" s="3" t="s">
        <v>61</v>
      </c>
      <c r="I22" s="4">
        <v>5.5</v>
      </c>
      <c r="L22" s="3" t="s">
        <v>61</v>
      </c>
      <c r="M22" s="4">
        <v>5.5</v>
      </c>
    </row>
    <row r="23" spans="1:13" x14ac:dyDescent="0.3">
      <c r="D23" s="3" t="s">
        <v>61</v>
      </c>
      <c r="E23" s="10">
        <v>18</v>
      </c>
      <c r="H23" s="3" t="s">
        <v>62</v>
      </c>
      <c r="I23" s="4">
        <v>7.5</v>
      </c>
      <c r="L23" s="3" t="s">
        <v>62</v>
      </c>
      <c r="M23" s="4">
        <v>7.5</v>
      </c>
    </row>
    <row r="24" spans="1:13" x14ac:dyDescent="0.3">
      <c r="D24" s="3" t="s">
        <v>62</v>
      </c>
      <c r="E24" s="10">
        <v>15</v>
      </c>
      <c r="H24" s="3" t="s">
        <v>63</v>
      </c>
      <c r="I24" s="4">
        <v>5</v>
      </c>
      <c r="L24" s="3" t="s">
        <v>63</v>
      </c>
      <c r="M24" s="4">
        <v>5</v>
      </c>
    </row>
    <row r="25" spans="1:13" x14ac:dyDescent="0.3">
      <c r="D25" s="3" t="s">
        <v>63</v>
      </c>
      <c r="E25" s="10">
        <v>25</v>
      </c>
      <c r="H25" s="3" t="s">
        <v>64</v>
      </c>
      <c r="I25" s="4">
        <v>3.5</v>
      </c>
      <c r="L25" s="3" t="s">
        <v>64</v>
      </c>
      <c r="M25" s="4">
        <v>3.5</v>
      </c>
    </row>
    <row r="26" spans="1:13" x14ac:dyDescent="0.3">
      <c r="D26" s="3" t="s">
        <v>64</v>
      </c>
      <c r="E26" s="10">
        <v>15</v>
      </c>
      <c r="H26" s="3" t="s">
        <v>65</v>
      </c>
      <c r="I26" s="4">
        <v>6.5</v>
      </c>
      <c r="L26" s="3" t="s">
        <v>65</v>
      </c>
      <c r="M26" s="4">
        <v>6.5</v>
      </c>
    </row>
    <row r="27" spans="1:13" x14ac:dyDescent="0.3">
      <c r="D27" s="3" t="s">
        <v>65</v>
      </c>
      <c r="E27" s="10">
        <v>19</v>
      </c>
      <c r="H27" s="3" t="s">
        <v>66</v>
      </c>
      <c r="I27" s="4">
        <v>5.833333333333333</v>
      </c>
      <c r="L27" s="3" t="s">
        <v>66</v>
      </c>
      <c r="M27" s="4">
        <v>5.833333333333333</v>
      </c>
    </row>
    <row r="28" spans="1:13" x14ac:dyDescent="0.3">
      <c r="D28" s="3" t="s">
        <v>66</v>
      </c>
      <c r="E28" s="10">
        <v>23</v>
      </c>
      <c r="H28" s="3" t="s">
        <v>67</v>
      </c>
      <c r="I28" s="4">
        <v>4.5</v>
      </c>
      <c r="L28" s="3" t="s">
        <v>67</v>
      </c>
      <c r="M28" s="4">
        <v>4.5</v>
      </c>
    </row>
    <row r="29" spans="1:13" x14ac:dyDescent="0.3">
      <c r="D29" s="3" t="s">
        <v>67</v>
      </c>
      <c r="E29" s="10">
        <v>10</v>
      </c>
      <c r="H29" s="3" t="s">
        <v>68</v>
      </c>
      <c r="I29" s="4">
        <v>3.75</v>
      </c>
      <c r="L29" s="3" t="s">
        <v>68</v>
      </c>
      <c r="M29" s="4">
        <v>3.75</v>
      </c>
    </row>
    <row r="30" spans="1:13" x14ac:dyDescent="0.3">
      <c r="D30" s="3" t="s">
        <v>68</v>
      </c>
      <c r="E30" s="10">
        <v>14</v>
      </c>
      <c r="H30" s="3" t="s">
        <v>69</v>
      </c>
      <c r="I30" s="4">
        <v>10</v>
      </c>
      <c r="L30" s="3" t="s">
        <v>69</v>
      </c>
      <c r="M30" s="4">
        <v>10</v>
      </c>
    </row>
    <row r="31" spans="1:13" x14ac:dyDescent="0.3">
      <c r="D31" s="3" t="s">
        <v>69</v>
      </c>
      <c r="E31" s="10">
        <v>16</v>
      </c>
      <c r="H31" s="3" t="s">
        <v>70</v>
      </c>
      <c r="I31" s="4">
        <v>4</v>
      </c>
      <c r="L31" s="3" t="s">
        <v>70</v>
      </c>
      <c r="M31" s="4">
        <v>4</v>
      </c>
    </row>
    <row r="32" spans="1:13" x14ac:dyDescent="0.3">
      <c r="D32" s="3" t="s">
        <v>70</v>
      </c>
      <c r="E32" s="10">
        <v>18</v>
      </c>
      <c r="H32" s="3" t="s">
        <v>71</v>
      </c>
      <c r="I32" s="4">
        <v>8.3333333333333339</v>
      </c>
      <c r="L32" s="3" t="s">
        <v>71</v>
      </c>
      <c r="M32" s="4">
        <v>8.3333333333333339</v>
      </c>
    </row>
    <row r="33" spans="1:18" x14ac:dyDescent="0.3">
      <c r="D33" s="3" t="s">
        <v>71</v>
      </c>
      <c r="E33" s="10">
        <v>22</v>
      </c>
      <c r="H33" s="3" t="s">
        <v>72</v>
      </c>
      <c r="I33" s="4">
        <v>3.25</v>
      </c>
      <c r="L33" s="3" t="s">
        <v>72</v>
      </c>
      <c r="M33" s="4">
        <v>3.25</v>
      </c>
    </row>
    <row r="34" spans="1:18" x14ac:dyDescent="0.3">
      <c r="D34" s="3" t="s">
        <v>72</v>
      </c>
      <c r="E34" s="10">
        <v>14</v>
      </c>
      <c r="H34" s="3" t="s">
        <v>73</v>
      </c>
      <c r="I34" s="4">
        <v>6</v>
      </c>
      <c r="L34" s="3" t="s">
        <v>73</v>
      </c>
      <c r="M34" s="4">
        <v>6</v>
      </c>
    </row>
    <row r="35" spans="1:18" x14ac:dyDescent="0.3">
      <c r="D35" s="3" t="s">
        <v>73</v>
      </c>
      <c r="E35" s="10">
        <v>15</v>
      </c>
      <c r="H35" s="3" t="s">
        <v>74</v>
      </c>
      <c r="I35" s="4">
        <v>6</v>
      </c>
      <c r="L35" s="3" t="s">
        <v>74</v>
      </c>
      <c r="M35" s="4">
        <v>6</v>
      </c>
    </row>
    <row r="36" spans="1:18" x14ac:dyDescent="0.3">
      <c r="D36" s="3" t="s">
        <v>74</v>
      </c>
      <c r="E36" s="10">
        <v>21</v>
      </c>
      <c r="H36" s="3" t="s">
        <v>75</v>
      </c>
      <c r="I36" s="4">
        <v>3.3333333333333335</v>
      </c>
      <c r="L36" s="3" t="s">
        <v>75</v>
      </c>
      <c r="M36" s="4">
        <v>3.3333333333333335</v>
      </c>
    </row>
    <row r="37" spans="1:18" x14ac:dyDescent="0.3">
      <c r="D37" s="3" t="s">
        <v>75</v>
      </c>
      <c r="E37" s="10">
        <v>17</v>
      </c>
      <c r="H37" s="3" t="s">
        <v>76</v>
      </c>
      <c r="I37" s="4">
        <v>6.666666666666667</v>
      </c>
      <c r="L37" s="3" t="s">
        <v>76</v>
      </c>
      <c r="M37" s="4">
        <v>6.666666666666667</v>
      </c>
    </row>
    <row r="38" spans="1:18" x14ac:dyDescent="0.3">
      <c r="D38" s="3" t="s">
        <v>76</v>
      </c>
      <c r="E38" s="10">
        <v>16</v>
      </c>
      <c r="H38" s="3" t="s">
        <v>77</v>
      </c>
      <c r="I38" s="4">
        <v>5.625</v>
      </c>
      <c r="L38" s="3" t="s">
        <v>77</v>
      </c>
      <c r="M38" s="4">
        <v>5.625</v>
      </c>
    </row>
    <row r="39" spans="1:18" x14ac:dyDescent="0.3">
      <c r="D39" s="3" t="s">
        <v>77</v>
      </c>
      <c r="E39" s="10">
        <v>19</v>
      </c>
      <c r="H39" s="3" t="s">
        <v>6</v>
      </c>
      <c r="I39" s="10">
        <v>5.1769911504424782</v>
      </c>
      <c r="L39" s="3" t="s">
        <v>6</v>
      </c>
      <c r="M39" s="10">
        <v>5.1769911504424782</v>
      </c>
    </row>
    <row r="40" spans="1:18" x14ac:dyDescent="0.3">
      <c r="D40" s="3" t="s">
        <v>6</v>
      </c>
      <c r="E40" s="10">
        <v>530</v>
      </c>
      <c r="H40"/>
      <c r="I40"/>
      <c r="L40"/>
      <c r="M40"/>
    </row>
    <row r="41" spans="1:18" x14ac:dyDescent="0.3">
      <c r="D41"/>
      <c r="E41"/>
      <c r="H41"/>
      <c r="I41"/>
      <c r="L41"/>
      <c r="M41"/>
    </row>
    <row r="42" spans="1:18" x14ac:dyDescent="0.3">
      <c r="A42" s="1" t="s">
        <v>5</v>
      </c>
      <c r="B42" s="1" t="s">
        <v>11</v>
      </c>
      <c r="C42" s="1" t="s">
        <v>14</v>
      </c>
      <c r="D42"/>
      <c r="E42"/>
      <c r="H42"/>
      <c r="I42"/>
      <c r="L42"/>
      <c r="M42"/>
    </row>
    <row r="43" spans="1:18" x14ac:dyDescent="0.3">
      <c r="A43" s="3" t="s">
        <v>12</v>
      </c>
      <c r="B43" s="5">
        <v>242</v>
      </c>
      <c r="C43" s="6">
        <v>0.45660377358490567</v>
      </c>
      <c r="D43"/>
      <c r="E43"/>
      <c r="H43"/>
      <c r="I43"/>
      <c r="L43"/>
      <c r="M43"/>
    </row>
    <row r="44" spans="1:18" x14ac:dyDescent="0.3">
      <c r="A44" s="3" t="s">
        <v>13</v>
      </c>
      <c r="B44" s="5">
        <v>288</v>
      </c>
      <c r="C44" s="6">
        <v>0.54339622641509433</v>
      </c>
      <c r="D44"/>
      <c r="E44"/>
      <c r="H44"/>
      <c r="I44"/>
      <c r="L44"/>
      <c r="M44"/>
    </row>
    <row r="45" spans="1:18" x14ac:dyDescent="0.3">
      <c r="A45" s="3" t="s">
        <v>6</v>
      </c>
      <c r="B45" s="4">
        <v>530</v>
      </c>
      <c r="C45" s="6">
        <v>1</v>
      </c>
      <c r="D45"/>
      <c r="E45"/>
      <c r="H45"/>
      <c r="I45"/>
      <c r="L45"/>
      <c r="M45"/>
    </row>
    <row r="46" spans="1:18" x14ac:dyDescent="0.3">
      <c r="D46"/>
      <c r="E46"/>
      <c r="H46"/>
      <c r="I46"/>
      <c r="L46"/>
      <c r="M46"/>
      <c r="P46" s="2" t="s">
        <v>15</v>
      </c>
      <c r="Q46" s="2" t="s">
        <v>18</v>
      </c>
      <c r="R46" s="2" t="s">
        <v>16</v>
      </c>
    </row>
    <row r="47" spans="1:18" x14ac:dyDescent="0.3">
      <c r="A47" s="8" t="s">
        <v>15</v>
      </c>
      <c r="B47" s="8" t="s">
        <v>17</v>
      </c>
      <c r="C47" s="8" t="s">
        <v>16</v>
      </c>
      <c r="D47"/>
      <c r="E47"/>
      <c r="H47"/>
      <c r="I47"/>
      <c r="L47"/>
      <c r="M47"/>
      <c r="P47" s="2" t="str">
        <f>A44</f>
        <v>Not Admitted</v>
      </c>
      <c r="Q47" s="2">
        <f t="shared" ref="Q47" si="0">B44</f>
        <v>288</v>
      </c>
      <c r="R47" s="7">
        <f>C44</f>
        <v>0.54339622641509433</v>
      </c>
    </row>
    <row r="48" spans="1:18" x14ac:dyDescent="0.3">
      <c r="A48" s="8" t="str">
        <f>A44</f>
        <v>Not Admitted</v>
      </c>
      <c r="B48" s="8">
        <f t="shared" ref="B48:C48" si="1">B44</f>
        <v>288</v>
      </c>
      <c r="C48" s="9">
        <f t="shared" si="1"/>
        <v>0.54339622641509433</v>
      </c>
      <c r="D48"/>
      <c r="E48"/>
      <c r="H48"/>
      <c r="I48"/>
      <c r="L48"/>
      <c r="M48"/>
      <c r="P48" s="2" t="str">
        <f>A43</f>
        <v>Admitted</v>
      </c>
      <c r="Q48" s="2">
        <f t="shared" ref="Q48" si="2">B43</f>
        <v>242</v>
      </c>
      <c r="R48" s="7">
        <f>C43</f>
        <v>0.45660377358490567</v>
      </c>
    </row>
    <row r="49" spans="1:13" x14ac:dyDescent="0.3">
      <c r="A49" s="8" t="str">
        <f>A43</f>
        <v>Admitted</v>
      </c>
      <c r="B49" s="8">
        <f t="shared" ref="B49:C49" si="3">B43</f>
        <v>242</v>
      </c>
      <c r="C49" s="9">
        <f t="shared" si="3"/>
        <v>0.45660377358490567</v>
      </c>
      <c r="D49"/>
      <c r="E49"/>
      <c r="H49"/>
      <c r="I49"/>
      <c r="L49"/>
      <c r="M49"/>
    </row>
    <row r="50" spans="1:13" x14ac:dyDescent="0.3">
      <c r="D50"/>
      <c r="E50"/>
      <c r="H50"/>
      <c r="I50"/>
      <c r="L50"/>
      <c r="M50"/>
    </row>
    <row r="51" spans="1:13" x14ac:dyDescent="0.3">
      <c r="D51"/>
      <c r="E51"/>
      <c r="H51"/>
      <c r="I51"/>
      <c r="L51"/>
      <c r="M51"/>
    </row>
    <row r="52" spans="1:13" x14ac:dyDescent="0.3">
      <c r="D52"/>
      <c r="E52"/>
      <c r="H52"/>
      <c r="I52"/>
      <c r="L52"/>
      <c r="M52"/>
    </row>
    <row r="53" spans="1:13" x14ac:dyDescent="0.3">
      <c r="A53" s="1" t="s">
        <v>28</v>
      </c>
      <c r="D53"/>
      <c r="E53"/>
      <c r="H53"/>
      <c r="I53"/>
      <c r="L53"/>
      <c r="M53"/>
    </row>
    <row r="54" spans="1:13" x14ac:dyDescent="0.3">
      <c r="D54"/>
      <c r="E54"/>
      <c r="H54"/>
      <c r="I54"/>
      <c r="L54"/>
      <c r="M54"/>
    </row>
    <row r="55" spans="1:13" x14ac:dyDescent="0.3">
      <c r="A55" s="1" t="s">
        <v>5</v>
      </c>
      <c r="B55" s="1" t="s">
        <v>27</v>
      </c>
      <c r="D55"/>
      <c r="E55"/>
      <c r="H55"/>
      <c r="I55"/>
      <c r="L55"/>
      <c r="M55"/>
    </row>
    <row r="56" spans="1:13" x14ac:dyDescent="0.3">
      <c r="A56" s="3" t="s">
        <v>19</v>
      </c>
      <c r="B56" s="5">
        <v>63</v>
      </c>
      <c r="D56"/>
      <c r="E56"/>
      <c r="H56"/>
      <c r="I56"/>
      <c r="L56"/>
      <c r="M56"/>
    </row>
    <row r="57" spans="1:13" x14ac:dyDescent="0.3">
      <c r="A57" s="3" t="s">
        <v>20</v>
      </c>
      <c r="B57" s="5">
        <v>63</v>
      </c>
      <c r="D57"/>
      <c r="E57"/>
      <c r="H57"/>
      <c r="I57"/>
      <c r="L57"/>
      <c r="M57"/>
    </row>
    <row r="58" spans="1:13" x14ac:dyDescent="0.3">
      <c r="A58" s="3" t="s">
        <v>21</v>
      </c>
      <c r="B58" s="5">
        <v>65</v>
      </c>
      <c r="D58"/>
      <c r="E58"/>
      <c r="H58"/>
      <c r="I58"/>
      <c r="L58"/>
      <c r="M58"/>
    </row>
    <row r="59" spans="1:13" x14ac:dyDescent="0.3">
      <c r="A59" s="3" t="s">
        <v>22</v>
      </c>
      <c r="B59" s="5">
        <v>60</v>
      </c>
      <c r="D59"/>
      <c r="E59"/>
      <c r="H59"/>
      <c r="I59"/>
      <c r="L59"/>
      <c r="M59"/>
    </row>
    <row r="60" spans="1:13" x14ac:dyDescent="0.3">
      <c r="A60" s="3" t="s">
        <v>23</v>
      </c>
      <c r="B60" s="5">
        <v>65</v>
      </c>
      <c r="D60"/>
      <c r="E60"/>
      <c r="H60"/>
      <c r="I60"/>
      <c r="L60"/>
      <c r="M60"/>
    </row>
    <row r="61" spans="1:13" x14ac:dyDescent="0.3">
      <c r="A61" s="3" t="s">
        <v>24</v>
      </c>
      <c r="B61" s="5">
        <v>72</v>
      </c>
      <c r="D61"/>
      <c r="E61"/>
      <c r="H61"/>
      <c r="I61"/>
      <c r="L61"/>
      <c r="M61"/>
    </row>
    <row r="62" spans="1:13" x14ac:dyDescent="0.3">
      <c r="A62" s="3" t="s">
        <v>25</v>
      </c>
      <c r="B62" s="5">
        <v>73</v>
      </c>
      <c r="D62"/>
      <c r="E62"/>
      <c r="H62"/>
      <c r="I62"/>
      <c r="L62"/>
      <c r="M62"/>
    </row>
    <row r="63" spans="1:13" x14ac:dyDescent="0.3">
      <c r="A63" s="3" t="s">
        <v>26</v>
      </c>
      <c r="B63" s="5">
        <v>69</v>
      </c>
      <c r="D63"/>
      <c r="E63"/>
      <c r="H63"/>
      <c r="I63"/>
      <c r="L63"/>
      <c r="M63"/>
    </row>
    <row r="64" spans="1:13" x14ac:dyDescent="0.3">
      <c r="A64" s="3" t="s">
        <v>6</v>
      </c>
      <c r="B64" s="4">
        <v>530</v>
      </c>
      <c r="D64"/>
      <c r="E64"/>
      <c r="H64"/>
      <c r="I64"/>
      <c r="L64"/>
      <c r="M64"/>
    </row>
    <row r="65" spans="1:13" x14ac:dyDescent="0.3">
      <c r="D65"/>
      <c r="E65"/>
      <c r="H65"/>
      <c r="I65"/>
      <c r="L65"/>
      <c r="M65"/>
    </row>
    <row r="66" spans="1:13" x14ac:dyDescent="0.3">
      <c r="D66"/>
      <c r="E66"/>
      <c r="H66"/>
      <c r="I66"/>
      <c r="L66"/>
      <c r="M66"/>
    </row>
    <row r="67" spans="1:13" x14ac:dyDescent="0.3">
      <c r="D67"/>
      <c r="E67"/>
      <c r="H67"/>
      <c r="I67"/>
      <c r="L67"/>
      <c r="M67"/>
    </row>
    <row r="68" spans="1:13" x14ac:dyDescent="0.3">
      <c r="A68" s="1" t="s">
        <v>29</v>
      </c>
      <c r="D68"/>
      <c r="E68"/>
      <c r="H68"/>
      <c r="I68"/>
      <c r="L68"/>
      <c r="M68"/>
    </row>
    <row r="69" spans="1:13" x14ac:dyDescent="0.3">
      <c r="A69" s="1" t="s">
        <v>5</v>
      </c>
      <c r="B69" s="1" t="s">
        <v>32</v>
      </c>
      <c r="D69"/>
      <c r="E69"/>
      <c r="H69"/>
      <c r="I69"/>
      <c r="L69"/>
      <c r="M69"/>
    </row>
    <row r="70" spans="1:13" x14ac:dyDescent="0.3">
      <c r="A70" s="3" t="s">
        <v>30</v>
      </c>
      <c r="B70" s="5">
        <v>323</v>
      </c>
      <c r="C70" s="5"/>
      <c r="D70"/>
      <c r="E70"/>
      <c r="H70"/>
      <c r="I70"/>
      <c r="L70"/>
      <c r="M70"/>
    </row>
    <row r="71" spans="1:13" x14ac:dyDescent="0.3">
      <c r="A71" s="3" t="s">
        <v>31</v>
      </c>
      <c r="B71" s="5">
        <v>207</v>
      </c>
      <c r="C71" s="5"/>
      <c r="D71"/>
      <c r="E71"/>
      <c r="H71"/>
      <c r="I71"/>
      <c r="L71"/>
      <c r="M71"/>
    </row>
    <row r="72" spans="1:13" x14ac:dyDescent="0.3">
      <c r="A72" s="3" t="s">
        <v>6</v>
      </c>
      <c r="B72" s="4">
        <v>530</v>
      </c>
    </row>
    <row r="74" spans="1:13" x14ac:dyDescent="0.3">
      <c r="A74" s="1" t="s">
        <v>33</v>
      </c>
    </row>
    <row r="75" spans="1:13" x14ac:dyDescent="0.3">
      <c r="A75" s="1" t="s">
        <v>5</v>
      </c>
      <c r="B75" s="1" t="s">
        <v>36</v>
      </c>
    </row>
    <row r="76" spans="1:13" x14ac:dyDescent="0.3">
      <c r="A76" s="3" t="s">
        <v>34</v>
      </c>
      <c r="B76" s="4">
        <v>259</v>
      </c>
    </row>
    <row r="77" spans="1:13" x14ac:dyDescent="0.3">
      <c r="A77" s="3" t="s">
        <v>35</v>
      </c>
      <c r="B77" s="4">
        <v>271</v>
      </c>
    </row>
    <row r="78" spans="1:13" x14ac:dyDescent="0.3">
      <c r="A78" s="3" t="s">
        <v>6</v>
      </c>
      <c r="B78" s="4">
        <v>530</v>
      </c>
    </row>
    <row r="81" spans="1:4" x14ac:dyDescent="0.3">
      <c r="A81" s="1" t="s">
        <v>37</v>
      </c>
    </row>
    <row r="82" spans="1:4" x14ac:dyDescent="0.3">
      <c r="A82" s="1" t="s">
        <v>5</v>
      </c>
      <c r="B82" s="1" t="s">
        <v>46</v>
      </c>
    </row>
    <row r="83" spans="1:4" x14ac:dyDescent="0.3">
      <c r="A83" s="3" t="s">
        <v>45</v>
      </c>
      <c r="B83" s="5">
        <v>7</v>
      </c>
    </row>
    <row r="84" spans="1:4" x14ac:dyDescent="0.3">
      <c r="A84" s="3" t="s">
        <v>39</v>
      </c>
      <c r="B84" s="5">
        <v>10</v>
      </c>
    </row>
    <row r="85" spans="1:4" x14ac:dyDescent="0.3">
      <c r="A85" s="3" t="s">
        <v>38</v>
      </c>
      <c r="B85" s="5">
        <v>12</v>
      </c>
      <c r="D85" s="1" t="s">
        <v>5</v>
      </c>
    </row>
    <row r="86" spans="1:4" x14ac:dyDescent="0.3">
      <c r="A86" s="3" t="s">
        <v>41</v>
      </c>
      <c r="B86" s="5">
        <v>14</v>
      </c>
      <c r="D86" s="3" t="s">
        <v>7</v>
      </c>
    </row>
    <row r="87" spans="1:4" x14ac:dyDescent="0.3">
      <c r="A87" s="3" t="s">
        <v>44</v>
      </c>
      <c r="B87" s="5">
        <v>18</v>
      </c>
      <c r="D87" s="3" t="s">
        <v>6</v>
      </c>
    </row>
    <row r="88" spans="1:4" x14ac:dyDescent="0.3">
      <c r="A88" s="3" t="s">
        <v>43</v>
      </c>
      <c r="B88" s="5">
        <v>53</v>
      </c>
    </row>
    <row r="89" spans="1:4" x14ac:dyDescent="0.3">
      <c r="A89" s="3" t="s">
        <v>40</v>
      </c>
      <c r="B89" s="5">
        <v>109</v>
      </c>
    </row>
    <row r="90" spans="1:4" x14ac:dyDescent="0.3">
      <c r="A90" s="3" t="s">
        <v>42</v>
      </c>
      <c r="B90" s="5">
        <v>307</v>
      </c>
    </row>
    <row r="91" spans="1:4" x14ac:dyDescent="0.3">
      <c r="A91" s="3" t="s">
        <v>6</v>
      </c>
      <c r="B91" s="4">
        <v>530</v>
      </c>
    </row>
  </sheetData>
  <conditionalFormatting sqref="Q47:T48">
    <cfRule type="colorScale" priority="1">
      <colorScale>
        <cfvo type="min"/>
        <cfvo type="percentile" val="50"/>
        <cfvo type="max"/>
        <color rgb="FFF8696B"/>
        <color rgb="FFFCFCFF"/>
        <color rgb="FF63BE7B"/>
      </colorScale>
    </cfRule>
  </conditionalFormatting>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8DCA-26D7-4702-AF47-49EBB0FEEAE2}">
  <dimension ref="A1:E3"/>
  <sheetViews>
    <sheetView tabSelected="1" zoomScale="130" zoomScaleNormal="130" workbookViewId="0">
      <selection activeCell="P12" sqref="P12"/>
    </sheetView>
  </sheetViews>
  <sheetFormatPr defaultRowHeight="14.4" x14ac:dyDescent="0.3"/>
  <cols>
    <col min="1" max="16384" width="8.88671875" style="1"/>
  </cols>
  <sheetData>
    <row r="1" spans="1:5" x14ac:dyDescent="0.3">
      <c r="A1" s="2"/>
      <c r="B1" s="2"/>
      <c r="C1" s="2"/>
      <c r="D1" s="2"/>
      <c r="E1" s="2"/>
    </row>
    <row r="2" spans="1:5" x14ac:dyDescent="0.3">
      <c r="A2" s="2"/>
      <c r="B2" s="2"/>
      <c r="C2" s="2"/>
      <c r="D2" s="2"/>
      <c r="E2" s="2"/>
    </row>
    <row r="3" spans="1:5" x14ac:dyDescent="0.3">
      <c r="A3" s="2"/>
      <c r="B3" s="2"/>
      <c r="C3" s="2"/>
      <c r="D3" s="2"/>
      <c r="E3"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C360A-2F64-4850-B7D5-B41D7C05FD40}">
  <dimension ref="A1"/>
  <sheetViews>
    <sheetView showGridLines="0" topLeftCell="A2" zoomScale="120" zoomScaleNormal="120" workbookViewId="0"/>
  </sheetViews>
  <sheetFormatPr defaultRowHeight="14.4" x14ac:dyDescent="0.3"/>
  <cols>
    <col min="1" max="16384" width="8.8867187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85596-D37E-47F0-AA83-7201C58FA32C}">
  <dimension ref="A1"/>
  <sheetViews>
    <sheetView showGridLines="0" zoomScale="120" zoomScaleNormal="120" workbookViewId="0"/>
  </sheetViews>
  <sheetFormatPr defaultRowHeight="14.4" x14ac:dyDescent="0.3"/>
  <cols>
    <col min="1" max="16384" width="8.88671875" style="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AB96B-CF34-43A5-A6A7-16A6AF6A4AE5}">
  <dimension ref="A1"/>
  <sheetViews>
    <sheetView showGridLines="0" zoomScale="61" zoomScaleNormal="120" workbookViewId="0">
      <selection activeCell="AH33" sqref="AH33"/>
    </sheetView>
  </sheetViews>
  <sheetFormatPr defaultRowHeight="14.4" x14ac:dyDescent="0.3"/>
  <cols>
    <col min="1" max="16384" width="8.88671875" style="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85EC2C5-31EA-4213-A009-CE515F3AEC82}">
  <ds:schemaRefs/>
</ds:datastoreItem>
</file>

<file path=customXml/itemProps2.xml><?xml version="1.0" encoding="utf-8"?>
<ds:datastoreItem xmlns:ds="http://schemas.openxmlformats.org/officeDocument/2006/customXml" ds:itemID="{4FC11E5E-4E84-45E4-8C0F-511A3683FDE7}">
  <ds:schemaRefs/>
</ds:datastoreItem>
</file>

<file path=customXml/itemProps3.xml><?xml version="1.0" encoding="utf-8"?>
<ds:datastoreItem xmlns:ds="http://schemas.openxmlformats.org/officeDocument/2006/customXml" ds:itemID="{F28FC627-4524-4F84-AC0F-E5EFC4D139C2}">
  <ds:schemaRefs/>
</ds:datastoreItem>
</file>

<file path=customXml/itemProps4.xml><?xml version="1.0" encoding="utf-8"?>
<ds:datastoreItem xmlns:ds="http://schemas.openxmlformats.org/officeDocument/2006/customXml" ds:itemID="{D611CE97-0893-41E2-977A-9AA27DC88FC8}">
  <ds:schemaRefs/>
</ds:datastoreItem>
</file>

<file path=customXml/itemProps5.xml><?xml version="1.0" encoding="utf-8"?>
<ds:datastoreItem xmlns:ds="http://schemas.openxmlformats.org/officeDocument/2006/customXml" ds:itemID="{97255831-E897-4A8E-9016-8D40B4B7FB05}">
  <ds:schemaRefs/>
</ds:datastoreItem>
</file>

<file path=customXml/itemProps6.xml><?xml version="1.0" encoding="utf-8"?>
<ds:datastoreItem xmlns:ds="http://schemas.openxmlformats.org/officeDocument/2006/customXml" ds:itemID="{191A589A-847D-4A34-B670-7D2437FD3BB4}">
  <ds:schemaRefs/>
</ds:datastoreItem>
</file>

<file path=customXml/itemProps7.xml><?xml version="1.0" encoding="utf-8"?>
<ds:datastoreItem xmlns:ds="http://schemas.openxmlformats.org/officeDocument/2006/customXml" ds:itemID="{423DBD2C-2709-45E5-A050-DBC061A9AF90}">
  <ds:schemaRefs/>
</ds:datastoreItem>
</file>

<file path=customXml/itemProps8.xml><?xml version="1.0" encoding="utf-8"?>
<ds:datastoreItem xmlns:ds="http://schemas.openxmlformats.org/officeDocument/2006/customXml" ds:itemID="{77AB9389-7A1E-4393-B5D2-A7E4E272089C}">
  <ds:schemaRefs/>
</ds:datastoreItem>
</file>

<file path=customXml/itemProps9.xml><?xml version="1.0" encoding="utf-8"?>
<ds:datastoreItem xmlns:ds="http://schemas.openxmlformats.org/officeDocument/2006/customXml" ds:itemID="{4BCD1A50-35F1-46A8-8E0D-7BDC7AFB418A}">
  <ds:schemaRefs>
    <ds:schemaRef ds:uri="http://schemas.microsoft.com/DataMashup"/>
  </ds:schemaRefs>
</ds:datastoreItem>
</file>

<file path=customXml/itemProps10.xml><?xml version="1.0" encoding="utf-8"?>
<ds:datastoreItem xmlns:ds="http://schemas.openxmlformats.org/officeDocument/2006/customXml" ds:itemID="{196D3DB3-E297-436F-B18F-3C23DBCACFD5}">
  <ds:schemaRefs/>
</ds:datastoreItem>
</file>

<file path=customXml/itemProps11.xml><?xml version="1.0" encoding="utf-8"?>
<ds:datastoreItem xmlns:ds="http://schemas.openxmlformats.org/officeDocument/2006/customXml" ds:itemID="{95682961-75E3-4666-ADC4-426E3121CA98}">
  <ds:schemaRefs/>
</ds:datastoreItem>
</file>

<file path=customXml/itemProps12.xml><?xml version="1.0" encoding="utf-8"?>
<ds:datastoreItem xmlns:ds="http://schemas.openxmlformats.org/officeDocument/2006/customXml" ds:itemID="{46FA54B3-1438-4AF0-B241-C280C3C7EBC1}">
  <ds:schemaRefs/>
</ds:datastoreItem>
</file>

<file path=customXml/itemProps13.xml><?xml version="1.0" encoding="utf-8"?>
<ds:datastoreItem xmlns:ds="http://schemas.openxmlformats.org/officeDocument/2006/customXml" ds:itemID="{9AB399B1-AA68-4DE4-9B78-3FB5B1E52D54}">
  <ds:schemaRefs/>
</ds:datastoreItem>
</file>

<file path=customXml/itemProps14.xml><?xml version="1.0" encoding="utf-8"?>
<ds:datastoreItem xmlns:ds="http://schemas.openxmlformats.org/officeDocument/2006/customXml" ds:itemID="{4EF8CAA5-166D-4A43-8046-B7AB428F47AC}">
  <ds:schemaRefs/>
</ds:datastoreItem>
</file>

<file path=customXml/itemProps15.xml><?xml version="1.0" encoding="utf-8"?>
<ds:datastoreItem xmlns:ds="http://schemas.openxmlformats.org/officeDocument/2006/customXml" ds:itemID="{2C51DAD1-DF11-4C00-B318-D78ECD989FAB}">
  <ds:schemaRefs/>
</ds:datastoreItem>
</file>

<file path=customXml/itemProps16.xml><?xml version="1.0" encoding="utf-8"?>
<ds:datastoreItem xmlns:ds="http://schemas.openxmlformats.org/officeDocument/2006/customXml" ds:itemID="{DC67ED09-08D6-4C11-B272-ADDE54EAF24B}">
  <ds:schemaRefs/>
</ds:datastoreItem>
</file>

<file path=customXml/itemProps17.xml><?xml version="1.0" encoding="utf-8"?>
<ds:datastoreItem xmlns:ds="http://schemas.openxmlformats.org/officeDocument/2006/customXml" ds:itemID="{10C2AFF2-8D28-44BF-9FA3-B96F528432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 </vt:lpstr>
      <vt:lpstr>Avg wait Time</vt:lpstr>
      <vt:lpstr>Sastifaction Score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ASHOK SINGH</dc:creator>
  <cp:lastModifiedBy>ASHOK SINGH</cp:lastModifiedBy>
  <dcterms:created xsi:type="dcterms:W3CDTF">2026-08-29T15:18:46Z</dcterms:created>
  <dcterms:modified xsi:type="dcterms:W3CDTF">2026-09-01T06:22:14Z</dcterms:modified>
</cp:coreProperties>
</file>